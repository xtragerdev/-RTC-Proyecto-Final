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581613546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a827c3f23e04394"/>
    <x:sheet xmlns:r="http://schemas.openxmlformats.org/officeDocument/2006/relationships" name="Usuarios" sheetId="2" r:id="R19f7c65deca741d7"/>
    <x:sheet xmlns:r="http://schemas.openxmlformats.org/officeDocument/2006/relationships" name="Centros" sheetId="3" r:id="Rf538f411fc01413e"/>
    <x:sheet xmlns:r="http://schemas.openxmlformats.org/officeDocument/2006/relationships" name="Objetos" sheetId="4" r:id="R6cc258c871e449cd"/>
    <x:sheet xmlns:r="http://schemas.openxmlformats.org/officeDocument/2006/relationships" name="Reservas" sheetId="5" r:id="R99ea0d4e8c08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00000"/>
    <x:numFmt numFmtId="202" formatCode="0.0000"/>
    <x:numFmt numFmtId="203" formatCode="€#,##0.00"/>
    <x:numFmt numFmtId="204" formatCode="0.0 &quot;kg&quot;"/>
    <x:numFmt numFmtId="205" formatCode="yyyy-mm-dd"/>
    <x:numFmt numFmtId="206" formatCode="#,##0"/>
  </x:numFmts>
  <x:fonts count="4">
    <x:font>
      <x:sz val="11"/>
      <x:name val="Carlito"/>
    </x:font>
    <x:font>
      <x:b/>
      <x:sz val="11"/>
      <x:color rgb="FFFFFDF7"/>
      <x:name val="Carlito"/>
    </x:font>
    <x:font>
      <x:b/>
      <x:sz val="20"/>
      <x:color rgb="FFFFFDF7"/>
      <x:name val="Carlito"/>
    </x:font>
    <x:font>
      <x:i/>
      <x:sz val="11"/>
      <x:color rgb="FF1737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2E"/>
      </x:patternFill>
    </x:fill>
    <x:fill>
      <x:patternFill patternType="solid">
        <x:fgColor rgb="FFDDEC94"/>
      </x:patternFill>
    </x:fill>
  </x:fills>
  <x:borders count="6">
    <x:border/>
    <x:border>
      <x:bottom style="thin">
        <x:color rgb="FFE8E3D8"/>
      </x:bottom>
    </x:border>
    <x:border>
      <x:top style="thin">
        <x:color rgb="FFE8E3D8"/>
      </x:top>
      <x:bottom style="thin">
        <x:color rgb="FFE8E3D8"/>
      </x:bottom>
    </x:border>
    <x:border>
      <x:top style="thin">
        <x:color rgb="FFE8E3D8"/>
      </x:top>
      <x:bottom style="thin">
        <x:color rgb="FFD9D6CA"/>
      </x:bottom>
    </x:border>
    <x:border>
      <x:bottom style="thin">
        <x:color rgb="FFD9D6CA"/>
      </x:bottom>
    </x:border>
    <x:border>
      <x:top style="thin">
        <x:color rgb="FFD9D6CA"/>
      </x:top>
      <x:bottom style="thin">
        <x:color rgb="FFD9D6CA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2" borderId="4" xfId="0" applyNumberFormat="1" applyFont="1" applyFill="1" applyBorder="1"/>
    <x:xf numFmtId="0" fontId="1" fillId="2" borderId="4" xfId="0" applyNumberFormat="1" applyFont="1" applyFill="1" applyBorder="1"/>
    <x:xf numFmtId="206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6789cfb4f4ec9" /><Relationship Type="http://schemas.openxmlformats.org/officeDocument/2006/relationships/theme" Target="/xl/theme/theme1.xml" Id="Ra8a6deb532e9436c" /><Relationship Type="http://schemas.microsoft.com/office/2022/11/relationships/FeaturePropertyBag" Target="/xl/featurePropertyBag/featurePropertyBag.xml" Id="R3085e6043a8144fe" /><Relationship Type="http://schemas.openxmlformats.org/officeDocument/2006/relationships/sharedStrings" Target="/xl/sharedStrings.xml" Id="R54010ad08e2b4ea0" /><Relationship Type="http://schemas.openxmlformats.org/officeDocument/2006/relationships/worksheet" Target="/xl/worksheets/sheet1.xml" Id="R6a827c3f23e04394" /><Relationship Type="http://schemas.openxmlformats.org/officeDocument/2006/relationships/worksheet" Target="/xl/worksheets/sheet2.xml" Id="R19f7c65deca741d7" /><Relationship Type="http://schemas.openxmlformats.org/officeDocument/2006/relationships/worksheet" Target="/xl/worksheets/sheet3.xml" Id="Rf538f411fc01413e" /><Relationship Type="http://schemas.openxmlformats.org/officeDocument/2006/relationships/worksheet" Target="/xl/worksheets/sheet4.xml" Id="R6cc258c871e449cd" /><Relationship Type="http://schemas.openxmlformats.org/officeDocument/2006/relationships/worksheet" Target="/xl/worksheets/sheet5.xml" Id="R99ea0d4e8c0848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e256c8a1ff43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Inventario por categoría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Objetos</c:v>
          </c:tx>
          <c:cat>
            <c:strRef>
              <c:f>'Resumen'!$A$12:$A$17</c:f>
              <c:strCache>
                <c:ptCount val="0"/>
              </c:strCache>
            </c:strRef>
          </c:cat>
          <c:val>
            <c:numRef>
              <c:f>'Resumen'!$B$12:$B$17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256c8a1ff43c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sTable" displayName="UsersTable" ref="A1:J61" headerRowCount="1" totalsRowCount="0" totalsRowShown="0">
  <x:autoFilter ref="A1:J61"/>
  <x:tableColumns count="10">
    <x:tableColumn id="1" name="external_code"/>
    <x:tableColumn id="2" name="first_name"/>
    <x:tableColumn id="3" name="last_name"/>
    <x:tableColumn id="4" name="email"/>
    <x:tableColumn id="5" name="role"/>
    <x:tableColumn id="6" name="district"/>
    <x:tableColumn id="7" name="preferred_hub_code"/>
    <x:tableColumn id="8" name="is_active"/>
    <x:tableColumn id="9" name="created_at"/>
    <x:tableColumn id="10" name="hub_relation_ok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ubsTable" displayName="HubsTable" ref="A1:N13" headerRowCount="1" totalsRowCount="0" totalsRowShown="0">
  <x:autoFilter ref="A1:N13"/>
  <x:tableColumns count="14">
    <x:tableColumn id="1" name="external_code"/>
    <x:tableColumn id="2" name="name"/>
    <x:tableColumn id="3" name="slug"/>
    <x:tableColumn id="4" name="district"/>
    <x:tableColumn id="5" name="neighborhood"/>
    <x:tableColumn id="6" name="address"/>
    <x:tableColumn id="7" name="postal_code"/>
    <x:tableColumn id="8" name="latitude"/>
    <x:tableColumn id="9" name="longitude"/>
    <x:tableColumn id="10" name="opening_hours"/>
    <x:tableColumn id="11" name="contact_email"/>
    <x:tableColumn id="12" name="manager_email"/>
    <x:tableColumn id="13" name="is_active"/>
    <x:tableColumn id="14" name="created_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ItemsTable" displayName="ItemsTable" ref="A1:O181" headerRowCount="1" totalsRowCount="0" totalsRowShown="0">
  <x:autoFilter ref="A1:O181"/>
  <x:tableColumns count="15">
    <x:tableColumn id="1" name="external_code"/>
    <x:tableColumn id="2" name="hub_code"/>
    <x:tableColumn id="3" name="name"/>
    <x:tableColumn id="4" name="slug"/>
    <x:tableColumn id="5" name="category"/>
    <x:tableColumn id="6" name="description"/>
    <x:tableColumn id="7" name="condition"/>
    <x:tableColumn id="8" name="status"/>
    <x:tableColumn id="9" name="deposit_eur"/>
    <x:tableColumn id="10" name="max_loan_days"/>
    <x:tableColumn id="11" name="replacement_cost_eur"/>
    <x:tableColumn id="12" name="estimated_waste_kg"/>
    <x:tableColumn id="13" name="tags"/>
    <x:tableColumn id="14" name="acquired_at"/>
    <x:tableColumn id="15" name="hub_relation_ok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servationsTable" displayName="ReservationsTable" ref="A1:N261" headerRowCount="1" totalsRowCount="0" totalsRowShown="0">
  <x:autoFilter ref="A1:N261"/>
  <x:tableColumns count="14">
    <x:tableColumn id="1" name="external_code"/>
    <x:tableColumn id="2" name="user_code"/>
    <x:tableColumn id="3" name="item_code"/>
    <x:tableColumn id="4" name="pickup_hub_code"/>
    <x:tableColumn id="5" name="requested_at"/>
    <x:tableColumn id="6" name="starts_at"/>
    <x:tableColumn id="7" name="ends_at"/>
    <x:tableColumn id="8" name="status"/>
    <x:tableColumn id="9" name="member_note"/>
    <x:tableColumn id="10" name="returned_at"/>
    <x:tableColumn id="11" name="user_relation_ok"/>
    <x:tableColumn id="12" name="item_relation_ok"/>
    <x:tableColumn id="13" name="hub_relation_ok"/>
    <x:tableColumn id="14" name="date_range_o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ReNodo">
  <a:themeElements>
    <a:clrScheme name="ReNod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Nod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67d47dbfe74f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21bb14d273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2355e03aa6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c4999ae91343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502b974b33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4" hidden="0" customWidth="1"/>
    <x:col min="4" max="4" width="29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30" t="str">
        <x:v>ReNodo · Dataset relacional para la semilla</x:v>
      </x:c>
      <x:c r="B1" s="30"/>
      <x:c r="C1" s="30"/>
      <x:c r="D1" s="30"/>
      <x:c r="E1" s="30"/>
      <x:c r="F1" s="30"/>
      <x:c r="G1" s="30"/>
      <x:c r="H1" s="30"/>
    </x:row>
    <x:row r="2" ht="24" customHeight="1">
      <x:c r="A2" s="30"/>
      <x:c r="B2" s="30"/>
      <x:c r="C2" s="30"/>
      <x:c r="D2" s="30"/>
      <x:c r="E2" s="30"/>
      <x:c r="F2" s="30"/>
      <x:c r="G2" s="30"/>
      <x:c r="H2" s="30"/>
    </x:row>
    <x:row r="3" ht="24" customHeight="1">
      <x:c r="A3" s="32" t="str">
        <x:v>Datos demo sintéticos · Madrid · corte 2026-08-31 · semilla determinista 260831</x:v>
      </x:c>
      <x:c r="B3" s="32"/>
      <x:c r="C3" s="32"/>
      <x:c r="D3" s="32"/>
      <x:c r="E3" s="32"/>
      <x:c r="F3" s="32"/>
      <x:c r="G3" s="32"/>
      <x:c r="H3" s="32"/>
    </x:row>
    <x:row r="4" ht="24" customHeight="1"/>
    <x:row r="5" ht="24" customHeight="1">
      <x:c r="A5" s="36" t="str">
        <x:v>Colección</x:v>
      </x:c>
      <x:c r="B5" s="36" t="str">
        <x:v>Registros</x:v>
      </x:c>
      <x:c r="D5" s="36" t="str">
        <x:v>Control</x:v>
      </x:c>
      <x:c r="E5" s="36" t="str">
        <x:v>Resultado</x:v>
      </x:c>
    </x:row>
    <x:row r="6" ht="24" customHeight="1">
      <x:c r="A6" s="34" t="str">
        <x:v>Usuarios</x:v>
      </x:c>
      <x:c r="B6" s="37" t="n">
        <x:f>COUNTA('Usuarios'!$A$2:$A$61)</x:f>
        <x:v>60</x:v>
      </x:c>
      <x:c r="D6" s="34" t="str">
        <x:v>Relaciones huérfanas</x:v>
      </x:c>
      <x:c r="E6" s="37" t="n">
        <x:f>COUNTIF('Usuarios'!$J$2:$J$61,"ERROR")+COUNTIF('Objetos'!$O$2:$O$181,"ERROR")+COUNTIF('Reservas'!$K$2:$M$261,"ERROR")</x:f>
        <x:v>0</x:v>
      </x:c>
    </x:row>
    <x:row r="7" ht="24" customHeight="1">
      <x:c r="A7" s="34" t="str">
        <x:v>Centros</x:v>
      </x:c>
      <x:c r="B7" s="37" t="n">
        <x:f>COUNTA('Centros'!$A$2:$A$13)</x:f>
        <x:v>12</x:v>
      </x:c>
      <x:c r="D7" s="34" t="str">
        <x:v>Rangos de fecha inválidos</x:v>
      </x:c>
      <x:c r="E7" s="37" t="n">
        <x:f>COUNTIF('Reservas'!$N$2:$N$261,"ERROR")</x:f>
        <x:v>0</x:v>
      </x:c>
    </x:row>
    <x:row r="8" ht="24" customHeight="1">
      <x:c r="A8" s="34" t="str">
        <x:v>Objetos</x:v>
      </x:c>
      <x:c r="B8" s="37" t="n">
        <x:f>COUNTA('Objetos'!$A$2:$A$181)</x:f>
        <x:v>180</x:v>
      </x:c>
      <x:c r="D8" s="34" t="str">
        <x:v>Total de registros</x:v>
      </x:c>
      <x:c r="E8" s="37" t="n">
        <x:f>SUM(B6:B9)</x:f>
        <x:v>512</x:v>
      </x:c>
    </x:row>
    <x:row r="9" ht="24" customHeight="1">
      <x:c r="A9" s="34" t="str">
        <x:v>Reservas</x:v>
      </x:c>
      <x:c r="B9" s="37" t="n">
        <x:f>COUNTA('Reservas'!$A$2:$A$261)</x:f>
        <x:v>260</x:v>
      </x:c>
      <x:c r="D9" s="34" t="str">
        <x:v>Colecciones relacionadas</x:v>
      </x:c>
      <x:c r="E9" s="37" t="n">
        <x:v>4</x:v>
      </x:c>
    </x:row>
    <x:row r="10" ht="24" customHeight="1"/>
    <x:row r="11" ht="24" customHeight="1">
      <x:c r="A11" s="36" t="str">
        <x:v>Categoría</x:v>
      </x:c>
      <x:c r="B11" s="36" t="str">
        <x:v>Objetos</x:v>
      </x:c>
      <x:c r="D11" s="36" t="str">
        <x:v>Estado de reserva</x:v>
      </x:c>
      <x:c r="E11" s="36" t="str">
        <x:v>Cantidad</x:v>
      </x:c>
    </x:row>
    <x:row r="12" ht="24" customHeight="1">
      <x:c r="A12" s="34" t="str">
        <x:v>tools</x:v>
      </x:c>
      <x:c r="B12" s="37" t="n">
        <x:f>COUNTIF('Objetos'!$E$2:$E$181,A12)</x:f>
        <x:v>30</x:v>
      </x:c>
      <x:c r="D12" s="34" t="str">
        <x:v>returned</x:v>
      </x:c>
      <x:c r="E12" s="37" t="n">
        <x:f>COUNTIF('Reservas'!$H$2:$H$261,D12)</x:f>
        <x:v>180</x:v>
      </x:c>
    </x:row>
    <x:row r="13" ht="24" customHeight="1">
      <x:c r="A13" s="34" t="str">
        <x:v>kitchen</x:v>
      </x:c>
      <x:c r="B13" s="37" t="n">
        <x:f>COUNTIF('Objetos'!$E$2:$E$181,A13)</x:f>
        <x:v>30</x:v>
      </x:c>
      <x:c r="D13" s="34" t="str">
        <x:v>approved</x:v>
      </x:c>
      <x:c r="E13" s="37" t="n">
        <x:f>COUNTIF('Reservas'!$H$2:$H$261,D13)</x:f>
        <x:v>25</x:v>
      </x:c>
    </x:row>
    <x:row r="14" ht="24" customHeight="1">
      <x:c r="A14" s="34" t="str">
        <x:v>outdoor</x:v>
      </x:c>
      <x:c r="B14" s="37" t="n">
        <x:f>COUNTIF('Objetos'!$E$2:$E$181,A14)</x:f>
        <x:v>30</x:v>
      </x:c>
      <x:c r="D14" s="34" t="str">
        <x:v>requested</x:v>
      </x:c>
      <x:c r="E14" s="37" t="n">
        <x:f>COUNTIF('Reservas'!$H$2:$H$261,D14)</x:f>
        <x:v>20</x:v>
      </x:c>
    </x:row>
    <x:row r="15" ht="24" customHeight="1">
      <x:c r="A15" s="34" t="str">
        <x:v>mobility</x:v>
      </x:c>
      <x:c r="B15" s="37" t="n">
        <x:f>COUNTIF('Objetos'!$E$2:$E$181,A15)</x:f>
        <x:v>30</x:v>
      </x:c>
      <x:c r="D15" s="34" t="str">
        <x:v>collected</x:v>
      </x:c>
      <x:c r="E15" s="37" t="n">
        <x:f>COUNTIF('Reservas'!$H$2:$H$261,D15)</x:f>
        <x:v>5</x:v>
      </x:c>
    </x:row>
    <x:row r="16" ht="24" customHeight="1">
      <x:c r="A16" s="34" t="str">
        <x:v>events</x:v>
      </x:c>
      <x:c r="B16" s="37" t="n">
        <x:f>COUNTIF('Objetos'!$E$2:$E$181,A16)</x:f>
        <x:v>30</x:v>
      </x:c>
      <x:c r="D16" s="34" t="str">
        <x:v>overdue</x:v>
      </x:c>
      <x:c r="E16" s="37" t="n">
        <x:f>COUNTIF('Reservas'!$H$2:$H$261,D16)</x:f>
        <x:v>5</x:v>
      </x:c>
    </x:row>
    <x:row r="17" ht="24" customHeight="1">
      <x:c r="A17" s="34" t="str">
        <x:v>technology</x:v>
      </x:c>
      <x:c r="B17" s="37" t="n">
        <x:f>COUNTIF('Objetos'!$E$2:$E$181,A17)</x:f>
        <x:v>30</x:v>
      </x:c>
      <x:c r="D17" s="34" t="str">
        <x:v>cancelled</x:v>
      </x:c>
      <x:c r="E17" s="37" t="n">
        <x:f>COUNTIF('Reservas'!$H$2:$H$261,D17)</x:f>
        <x:v>15</x:v>
      </x:c>
    </x:row>
    <x:row r="18" ht="24" customHeight="1">
      <x:c r="D18" s="34" t="str">
        <x:v>rejected</x:v>
      </x:c>
      <x:c r="E18" s="37" t="n">
        <x:f>COUNTIF('Reservas'!$H$2:$H$261,D18)</x:f>
        <x:v>10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6867d47dbfe74f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31" hidden="0" customWidth="1"/>
    <x:col min="5" max="5" width="12" hidden="0" customWidth="1"/>
    <x:col min="6" max="6" width="18" hidden="0" customWidth="1"/>
    <x:col min="7" max="7" width="18" hidden="0" customWidth="1"/>
    <x:col min="8" max="8" width="11" hidden="0" customWidth="1"/>
    <x:col min="9" max="9" width="20" hidden="0" customWidth="1"/>
    <x:col min="10" max="10" width="15" hidden="0" customWidth="1"/>
  </x:cols>
  <x:sheetData>
    <x:row r="1" ht="32" customHeight="1">
      <x:c r="A1" s="7" t="str">
        <x:v>external_code</x:v>
      </x:c>
      <x:c r="B1" s="7" t="str">
        <x:v>first_name</x:v>
      </x:c>
      <x:c r="C1" s="7" t="str">
        <x:v>last_name</x:v>
      </x:c>
      <x:c r="D1" s="7" t="str">
        <x:v>email</x:v>
      </x:c>
      <x:c r="E1" s="7" t="str">
        <x:v>role</x:v>
      </x:c>
      <x:c r="F1" s="7" t="str">
        <x:v>district</x:v>
      </x:c>
      <x:c r="G1" s="7" t="str">
        <x:v>preferred_hub_code</x:v>
      </x:c>
      <x:c r="H1" s="7" t="str">
        <x:v>is_active</x:v>
      </x:c>
      <x:c r="I1" s="7" t="str">
        <x:v>created_at</x:v>
      </x:c>
      <x:c r="J1" s="7" t="str">
        <x:v>hub_relation_ok</x:v>
      </x:c>
    </x:row>
    <x:row r="2">
      <x:c r="A2" s="8" t="str">
        <x:v>USR-0001</x:v>
      </x:c>
      <x:c r="B2" s="8" t="str">
        <x:v>Sergio</x:v>
      </x:c>
      <x:c r="C2" s="8" t="str">
        <x:v>Molina Cano</x:v>
      </x:c>
      <x:c r="D2" s="8" t="str">
        <x:v>sergio-molina.0001@renodo.example</x:v>
      </x:c>
      <x:c r="E2" s="8" t="str">
        <x:v>admin</x:v>
      </x:c>
      <x:c r="F2" s="8" t="str">
        <x:v>Centro</x:v>
      </x:c>
      <x:c r="G2" s="8" t="str">
        <x:v>HUB-MAD-001</x:v>
      </x:c>
      <x:c r="H2" s="9" t="b">
        <x:v>0</x:v>
      </x:c>
      <x:c r="I2" s="10" t="n">
        <x:v>45536.416666666664</x:v>
      </x:c>
      <x:c r="J2" s="8" t="str">
        <x:f>IF(COUNTIF('Centros'!$A$2:$A$13,G2)=1,"OK","ERROR")</x:f>
        <x:v>OK</x:v>
      </x:c>
    </x:row>
    <x:row r="3">
      <x:c r="A3" s="8" t="str">
        <x:v>USR-0002</x:v>
      </x:c>
      <x:c r="B3" s="8" t="str">
        <x:v>Iker</x:v>
      </x:c>
      <x:c r="C3" s="8" t="str">
        <x:v>Navarro Gil</x:v>
      </x:c>
      <x:c r="D3" s="8" t="str">
        <x:v>iker-navarro.0002@renodo.example</x:v>
      </x:c>
      <x:c r="E3" s="8" t="str">
        <x:v>admin</x:v>
      </x:c>
      <x:c r="F3" s="8" t="str">
        <x:v>Centro</x:v>
      </x:c>
      <x:c r="G3" s="8" t="str">
        <x:v>HUB-MAD-002</x:v>
      </x:c>
      <x:c r="H3" s="9" t="b">
        <x:v>1</x:v>
      </x:c>
      <x:c r="I3" s="10" t="n">
        <x:v>45547.416666666664</x:v>
      </x:c>
      <x:c r="J3" s="8" t="str">
        <x:f>IF(COUNTIF('Centros'!$A$2:$A$13,G3)=1,"OK","ERROR")</x:f>
        <x:v>OK</x:v>
      </x:c>
    </x:row>
    <x:row r="4">
      <x:c r="A4" s="8" t="str">
        <x:v>USR-0003</x:v>
      </x:c>
      <x:c r="B4" s="8" t="str">
        <x:v>Elena</x:v>
      </x:c>
      <x:c r="C4" s="8" t="str">
        <x:v>Ortega Soler</x:v>
      </x:c>
      <x:c r="D4" s="8" t="str">
        <x:v>elena-ortega.0003@renodo.example</x:v>
      </x:c>
      <x:c r="E4" s="8" t="str">
        <x:v>manager</x:v>
      </x:c>
      <x:c r="F4" s="8" t="str">
        <x:v>Arganzuela</x:v>
      </x:c>
      <x:c r="G4" s="8" t="str">
        <x:v>HUB-MAD-003</x:v>
      </x:c>
      <x:c r="H4" s="9" t="b">
        <x:v>1</x:v>
      </x:c>
      <x:c r="I4" s="10" t="n">
        <x:v>45558.416666666664</x:v>
      </x:c>
      <x:c r="J4" s="8" t="str">
        <x:f>IF(COUNTIF('Centros'!$A$2:$A$13,G4)=1,"OK","ERROR")</x:f>
        <x:v>OK</x:v>
      </x:c>
    </x:row>
    <x:row r="5">
      <x:c r="A5" s="8" t="str">
        <x:v>USR-0004</x:v>
      </x:c>
      <x:c r="B5" s="8" t="str">
        <x:v>Nora</x:v>
      </x:c>
      <x:c r="C5" s="8" t="str">
        <x:v>Navarro Gil</x:v>
      </x:c>
      <x:c r="D5" s="8" t="str">
        <x:v>nora-navarro.0004@renodo.example</x:v>
      </x:c>
      <x:c r="E5" s="8" t="str">
        <x:v>manager</x:v>
      </x:c>
      <x:c r="F5" s="8" t="str">
        <x:v>Chamberí</x:v>
      </x:c>
      <x:c r="G5" s="8" t="str">
        <x:v>HUB-MAD-004</x:v>
      </x:c>
      <x:c r="H5" s="9" t="b">
        <x:v>1</x:v>
      </x:c>
      <x:c r="I5" s="10" t="n">
        <x:v>45569.416666666664</x:v>
      </x:c>
      <x:c r="J5" s="8" t="str">
        <x:f>IF(COUNTIF('Centros'!$A$2:$A$13,G5)=1,"OK","ERROR")</x:f>
        <x:v>OK</x:v>
      </x:c>
    </x:row>
    <x:row r="6">
      <x:c r="A6" s="8" t="str">
        <x:v>USR-0005</x:v>
      </x:c>
      <x:c r="B6" s="8" t="str">
        <x:v>Bruno</x:v>
      </x:c>
      <x:c r="C6" s="8" t="str">
        <x:v>Prieto Luna</x:v>
      </x:c>
      <x:c r="D6" s="8" t="str">
        <x:v>bruno-prieto.0005@renodo.example</x:v>
      </x:c>
      <x:c r="E6" s="8" t="str">
        <x:v>manager</x:v>
      </x:c>
      <x:c r="F6" s="8" t="str">
        <x:v>Tetuán</x:v>
      </x:c>
      <x:c r="G6" s="8" t="str">
        <x:v>HUB-MAD-005</x:v>
      </x:c>
      <x:c r="H6" s="9" t="b">
        <x:v>1</x:v>
      </x:c>
      <x:c r="I6" s="10" t="n">
        <x:v>45580.416666666664</x:v>
      </x:c>
      <x:c r="J6" s="8" t="str">
        <x:f>IF(COUNTIF('Centros'!$A$2:$A$13,G6)=1,"OK","ERROR")</x:f>
        <x:v>OK</x:v>
      </x:c>
    </x:row>
    <x:row r="7">
      <x:c r="A7" s="8" t="str">
        <x:v>USR-0006</x:v>
      </x:c>
      <x:c r="B7" s="8" t="str">
        <x:v>Leo</x:v>
      </x:c>
      <x:c r="C7" s="8" t="str">
        <x:v>López Ruiz</x:v>
      </x:c>
      <x:c r="D7" s="8" t="str">
        <x:v>leo-lopez.0006@renodo.example</x:v>
      </x:c>
      <x:c r="E7" s="8" t="str">
        <x:v>manager</x:v>
      </x:c>
      <x:c r="F7" s="8" t="str">
        <x:v>Carabanchel</x:v>
      </x:c>
      <x:c r="G7" s="8" t="str">
        <x:v>HUB-MAD-006</x:v>
      </x:c>
      <x:c r="H7" s="9" t="b">
        <x:v>1</x:v>
      </x:c>
      <x:c r="I7" s="10" t="n">
        <x:v>45591.416666666664</x:v>
      </x:c>
      <x:c r="J7" s="8" t="str">
        <x:f>IF(COUNTIF('Centros'!$A$2:$A$13,G7)=1,"OK","ERROR")</x:f>
        <x:v>OK</x:v>
      </x:c>
    </x:row>
    <x:row r="8">
      <x:c r="A8" s="8" t="str">
        <x:v>USR-0007</x:v>
      </x:c>
      <x:c r="B8" s="8" t="str">
        <x:v>Laia</x:v>
      </x:c>
      <x:c r="C8" s="8" t="str">
        <x:v>Ortega Soler</x:v>
      </x:c>
      <x:c r="D8" s="8" t="str">
        <x:v>laia-ortega.0007@renodo.example</x:v>
      </x:c>
      <x:c r="E8" s="8" t="str">
        <x:v>manager</x:v>
      </x:c>
      <x:c r="F8" s="8" t="str">
        <x:v>Usera</x:v>
      </x:c>
      <x:c r="G8" s="8" t="str">
        <x:v>HUB-MAD-007</x:v>
      </x:c>
      <x:c r="H8" s="9" t="b">
        <x:v>1</x:v>
      </x:c>
      <x:c r="I8" s="10" t="n">
        <x:v>45602.416666666664</x:v>
      </x:c>
      <x:c r="J8" s="8" t="str">
        <x:f>IF(COUNTIF('Centros'!$A$2:$A$13,G8)=1,"OK","ERROR")</x:f>
        <x:v>OK</x:v>
      </x:c>
    </x:row>
    <x:row r="9">
      <x:c r="A9" s="8" t="str">
        <x:v>USR-0008</x:v>
      </x:c>
      <x:c r="B9" s="8" t="str">
        <x:v>Irene</x:v>
      </x:c>
      <x:c r="C9" s="8" t="str">
        <x:v>Molina Cano</x:v>
      </x:c>
      <x:c r="D9" s="8" t="str">
        <x:v>irene-molina.0008@renodo.example</x:v>
      </x:c>
      <x:c r="E9" s="8" t="str">
        <x:v>manager</x:v>
      </x:c>
      <x:c r="F9" s="8" t="str">
        <x:v>Puente de Vallecas</x:v>
      </x:c>
      <x:c r="G9" s="8" t="str">
        <x:v>HUB-MAD-008</x:v>
      </x:c>
      <x:c r="H9" s="9" t="b">
        <x:v>1</x:v>
      </x:c>
      <x:c r="I9" s="10" t="n">
        <x:v>45613.416666666664</x:v>
      </x:c>
      <x:c r="J9" s="8" t="str">
        <x:f>IF(COUNTIF('Centros'!$A$2:$A$13,G9)=1,"OK","ERROR")</x:f>
        <x:v>OK</x:v>
      </x:c>
    </x:row>
    <x:row r="10">
      <x:c r="A10" s="8" t="str">
        <x:v>USR-0009</x:v>
      </x:c>
      <x:c r="B10" s="8" t="str">
        <x:v>Inés</x:v>
      </x:c>
      <x:c r="C10" s="8" t="str">
        <x:v>Romero Díaz</x:v>
      </x:c>
      <x:c r="D10" s="8" t="str">
        <x:v>ines-romero.0009@renodo.example</x:v>
      </x:c>
      <x:c r="E10" s="8" t="str">
        <x:v>manager</x:v>
      </x:c>
      <x:c r="F10" s="8" t="str">
        <x:v>Retiro</x:v>
      </x:c>
      <x:c r="G10" s="8" t="str">
        <x:v>HUB-MAD-009</x:v>
      </x:c>
      <x:c r="H10" s="9" t="b">
        <x:v>1</x:v>
      </x:c>
      <x:c r="I10" s="10" t="n">
        <x:v>45624.416666666664</x:v>
      </x:c>
      <x:c r="J10" s="8" t="str">
        <x:f>IF(COUNTIF('Centros'!$A$2:$A$13,G10)=1,"OK","ERROR")</x:f>
        <x:v>OK</x:v>
      </x:c>
    </x:row>
    <x:row r="11">
      <x:c r="A11" s="8" t="str">
        <x:v>USR-0010</x:v>
      </x:c>
      <x:c r="B11" s="8" t="str">
        <x:v>Álvaro</x:v>
      </x:c>
      <x:c r="C11" s="8" t="str">
        <x:v>Vidal Serra</x:v>
      </x:c>
      <x:c r="D11" s="8" t="str">
        <x:v>alvaro-vidal.0010@renodo.example</x:v>
      </x:c>
      <x:c r="E11" s="8" t="str">
        <x:v>manager</x:v>
      </x:c>
      <x:c r="F11" s="8" t="str">
        <x:v>Hortaleza</x:v>
      </x:c>
      <x:c r="G11" s="8" t="str">
        <x:v>HUB-MAD-010</x:v>
      </x:c>
      <x:c r="H11" s="9" t="b">
        <x:v>1</x:v>
      </x:c>
      <x:c r="I11" s="10" t="n">
        <x:v>45635.416666666664</x:v>
      </x:c>
      <x:c r="J11" s="8" t="str">
        <x:f>IF(COUNTIF('Centros'!$A$2:$A$13,G11)=1,"OK","ERROR")</x:f>
        <x:v>OK</x:v>
      </x:c>
    </x:row>
    <x:row r="12">
      <x:c r="A12" s="8" t="str">
        <x:v>USR-0011</x:v>
      </x:c>
      <x:c r="B12" s="8" t="str">
        <x:v>Leo</x:v>
      </x:c>
      <x:c r="C12" s="8" t="str">
        <x:v>Navarro Gil</x:v>
      </x:c>
      <x:c r="D12" s="8" t="str">
        <x:v>leo-navarro.0011@renodo.example</x:v>
      </x:c>
      <x:c r="E12" s="8" t="str">
        <x:v>manager</x:v>
      </x:c>
      <x:c r="F12" s="8" t="str">
        <x:v>Latina</x:v>
      </x:c>
      <x:c r="G12" s="8" t="str">
        <x:v>HUB-MAD-011</x:v>
      </x:c>
      <x:c r="H12" s="9" t="b">
        <x:v>1</x:v>
      </x:c>
      <x:c r="I12" s="10" t="n">
        <x:v>45646.416666666664</x:v>
      </x:c>
      <x:c r="J12" s="8" t="str">
        <x:f>IF(COUNTIF('Centros'!$A$2:$A$13,G12)=1,"OK","ERROR")</x:f>
        <x:v>OK</x:v>
      </x:c>
    </x:row>
    <x:row r="13">
      <x:c r="A13" s="8" t="str">
        <x:v>USR-0012</x:v>
      </x:c>
      <x:c r="B13" s="8" t="str">
        <x:v>Álvaro</x:v>
      </x:c>
      <x:c r="C13" s="8" t="str">
        <x:v>Campos Peña</x:v>
      </x:c>
      <x:c r="D13" s="8" t="str">
        <x:v>alvaro-campos.0012@renodo.example</x:v>
      </x:c>
      <x:c r="E13" s="8" t="str">
        <x:v>manager</x:v>
      </x:c>
      <x:c r="F13" s="8" t="str">
        <x:v>Moncloa-Aravaca</x:v>
      </x:c>
      <x:c r="G13" s="8" t="str">
        <x:v>HUB-MAD-012</x:v>
      </x:c>
      <x:c r="H13" s="9" t="b">
        <x:v>1</x:v>
      </x:c>
      <x:c r="I13" s="10" t="n">
        <x:v>45657.416666666664</x:v>
      </x:c>
      <x:c r="J13" s="8" t="str">
        <x:f>IF(COUNTIF('Centros'!$A$2:$A$13,G13)=1,"OK","ERROR")</x:f>
        <x:v>OK</x:v>
      </x:c>
    </x:row>
    <x:row r="14">
      <x:c r="A14" s="8" t="str">
        <x:v>USR-0013</x:v>
      </x:c>
      <x:c r="B14" s="8" t="str">
        <x:v>Carmen</x:v>
      </x:c>
      <x:c r="C14" s="8" t="str">
        <x:v>Navarro Gil</x:v>
      </x:c>
      <x:c r="D14" s="8" t="str">
        <x:v>carmen-navarro.0013@renodo.example</x:v>
      </x:c>
      <x:c r="E14" s="8" t="str">
        <x:v>manager</x:v>
      </x:c>
      <x:c r="F14" s="8" t="str">
        <x:v>Centro</x:v>
      </x:c>
      <x:c r="G14" s="8" t="str">
        <x:v>HUB-MAD-001</x:v>
      </x:c>
      <x:c r="H14" s="9" t="b">
        <x:v>1</x:v>
      </x:c>
      <x:c r="I14" s="10" t="n">
        <x:v>45668.416666666664</x:v>
      </x:c>
      <x:c r="J14" s="8" t="str">
        <x:f>IF(COUNTIF('Centros'!$A$2:$A$13,G14)=1,"OK","ERROR")</x:f>
        <x:v>OK</x:v>
      </x:c>
    </x:row>
    <x:row r="15">
      <x:c r="A15" s="8" t="str">
        <x:v>USR-0014</x:v>
      </x:c>
      <x:c r="B15" s="8" t="str">
        <x:v>Mario</x:v>
      </x:c>
      <x:c r="C15" s="8" t="str">
        <x:v>Molina Cano</x:v>
      </x:c>
      <x:c r="D15" s="8" t="str">
        <x:v>mario-molina.0014@renodo.example</x:v>
      </x:c>
      <x:c r="E15" s="8" t="str">
        <x:v>manager</x:v>
      </x:c>
      <x:c r="F15" s="8" t="str">
        <x:v>Centro</x:v>
      </x:c>
      <x:c r="G15" s="8" t="str">
        <x:v>HUB-MAD-002</x:v>
      </x:c>
      <x:c r="H15" s="9" t="b">
        <x:v>1</x:v>
      </x:c>
      <x:c r="I15" s="10" t="n">
        <x:v>45679.416666666664</x:v>
      </x:c>
      <x:c r="J15" s="8" t="str">
        <x:f>IF(COUNTIF('Centros'!$A$2:$A$13,G15)=1,"OK","ERROR")</x:f>
        <x:v>OK</x:v>
      </x:c>
    </x:row>
    <x:row r="16">
      <x:c r="A16" s="8" t="str">
        <x:v>USR-0015</x:v>
      </x:c>
      <x:c r="B16" s="8" t="str">
        <x:v>Carmen</x:v>
      </x:c>
      <x:c r="C16" s="8" t="str">
        <x:v>Santos Vega</x:v>
      </x:c>
      <x:c r="D16" s="8" t="str">
        <x:v>carmen-santos.0015@renodo.example</x:v>
      </x:c>
      <x:c r="E16" s="8" t="str">
        <x:v>member</x:v>
      </x:c>
      <x:c r="F16" s="8" t="str">
        <x:v>Arganzuela</x:v>
      </x:c>
      <x:c r="G16" s="8" t="str">
        <x:v>HUB-MAD-003</x:v>
      </x:c>
      <x:c r="H16" s="9" t="b">
        <x:v>1</x:v>
      </x:c>
      <x:c r="I16" s="10" t="n">
        <x:v>45690.416666666664</x:v>
      </x:c>
      <x:c r="J16" s="8" t="str">
        <x:f>IF(COUNTIF('Centros'!$A$2:$A$13,G16)=1,"OK","ERROR")</x:f>
        <x:v>OK</x:v>
      </x:c>
    </x:row>
    <x:row r="17">
      <x:c r="A17" s="8" t="str">
        <x:v>USR-0016</x:v>
      </x:c>
      <x:c r="B17" s="8" t="str">
        <x:v>Marta</x:v>
      </x:c>
      <x:c r="C17" s="8" t="str">
        <x:v>Molina Cano</x:v>
      </x:c>
      <x:c r="D17" s="8" t="str">
        <x:v>marta-molina.0016@renodo.example</x:v>
      </x:c>
      <x:c r="E17" s="8" t="str">
        <x:v>member</x:v>
      </x:c>
      <x:c r="F17" s="8" t="str">
        <x:v>Chamberí</x:v>
      </x:c>
      <x:c r="G17" s="8" t="str">
        <x:v>HUB-MAD-004</x:v>
      </x:c>
      <x:c r="H17" s="9" t="b">
        <x:v>1</x:v>
      </x:c>
      <x:c r="I17" s="10" t="n">
        <x:v>45701.416666666664</x:v>
      </x:c>
      <x:c r="J17" s="8" t="str">
        <x:f>IF(COUNTIF('Centros'!$A$2:$A$13,G17)=1,"OK","ERROR")</x:f>
        <x:v>OK</x:v>
      </x:c>
    </x:row>
    <x:row r="18">
      <x:c r="A18" s="8" t="str">
        <x:v>USR-0017</x:v>
      </x:c>
      <x:c r="B18" s="8" t="str">
        <x:v>Paula</x:v>
      </x:c>
      <x:c r="C18" s="8" t="str">
        <x:v>García Martín</x:v>
      </x:c>
      <x:c r="D18" s="8" t="str">
        <x:v>paula-garcia.0017@renodo.example</x:v>
      </x:c>
      <x:c r="E18" s="8" t="str">
        <x:v>member</x:v>
      </x:c>
      <x:c r="F18" s="8" t="str">
        <x:v>Tetuán</x:v>
      </x:c>
      <x:c r="G18" s="8" t="str">
        <x:v>HUB-MAD-005</x:v>
      </x:c>
      <x:c r="H18" s="9" t="b">
        <x:v>1</x:v>
      </x:c>
      <x:c r="I18" s="10" t="n">
        <x:v>45712.416666666664</x:v>
      </x:c>
      <x:c r="J18" s="8" t="str">
        <x:f>IF(COUNTIF('Centros'!$A$2:$A$13,G18)=1,"OK","ERROR")</x:f>
        <x:v>OK</x:v>
      </x:c>
    </x:row>
    <x:row r="19">
      <x:c r="A19" s="8" t="str">
        <x:v>USR-0018</x:v>
      </x:c>
      <x:c r="B19" s="8" t="str">
        <x:v>Daniel</x:v>
      </x:c>
      <x:c r="C19" s="8" t="str">
        <x:v>Ortega Soler</x:v>
      </x:c>
      <x:c r="D19" s="8" t="str">
        <x:v>daniel-ortega.0018@renodo.example</x:v>
      </x:c>
      <x:c r="E19" s="8" t="str">
        <x:v>member</x:v>
      </x:c>
      <x:c r="F19" s="8" t="str">
        <x:v>Carabanchel</x:v>
      </x:c>
      <x:c r="G19" s="8" t="str">
        <x:v>HUB-MAD-006</x:v>
      </x:c>
      <x:c r="H19" s="9" t="b">
        <x:v>1</x:v>
      </x:c>
      <x:c r="I19" s="10" t="n">
        <x:v>45723.416666666664</x:v>
      </x:c>
      <x:c r="J19" s="8" t="str">
        <x:f>IF(COUNTIF('Centros'!$A$2:$A$13,G19)=1,"OK","ERROR")</x:f>
        <x:v>OK</x:v>
      </x:c>
    </x:row>
    <x:row r="20">
      <x:c r="A20" s="8" t="str">
        <x:v>USR-0019</x:v>
      </x:c>
      <x:c r="B20" s="8" t="str">
        <x:v>Paula</x:v>
      </x:c>
      <x:c r="C20" s="8" t="str">
        <x:v>Campos Peña</x:v>
      </x:c>
      <x:c r="D20" s="8" t="str">
        <x:v>paula-campos.0019@renodo.example</x:v>
      </x:c>
      <x:c r="E20" s="8" t="str">
        <x:v>member</x:v>
      </x:c>
      <x:c r="F20" s="8" t="str">
        <x:v>Usera</x:v>
      </x:c>
      <x:c r="G20" s="8" t="str">
        <x:v>HUB-MAD-007</x:v>
      </x:c>
      <x:c r="H20" s="9" t="b">
        <x:v>1</x:v>
      </x:c>
      <x:c r="I20" s="10" t="n">
        <x:v>45734.416666666664</x:v>
      </x:c>
      <x:c r="J20" s="8" t="str">
        <x:f>IF(COUNTIF('Centros'!$A$2:$A$13,G20)=1,"OK","ERROR")</x:f>
        <x:v>OK</x:v>
      </x:c>
    </x:row>
    <x:row r="21">
      <x:c r="A21" s="8" t="str">
        <x:v>USR-0020</x:v>
      </x:c>
      <x:c r="B21" s="8" t="str">
        <x:v>Iker</x:v>
      </x:c>
      <x:c r="C21" s="8" t="str">
        <x:v>Torres León</x:v>
      </x:c>
      <x:c r="D21" s="8" t="str">
        <x:v>iker-torres.0020@renodo.example</x:v>
      </x:c>
      <x:c r="E21" s="8" t="str">
        <x:v>member</x:v>
      </x:c>
      <x:c r="F21" s="8" t="str">
        <x:v>Puente de Vallecas</x:v>
      </x:c>
      <x:c r="G21" s="8" t="str">
        <x:v>HUB-MAD-008</x:v>
      </x:c>
      <x:c r="H21" s="9" t="b">
        <x:v>1</x:v>
      </x:c>
      <x:c r="I21" s="10" t="n">
        <x:v>45745.416666666664</x:v>
      </x:c>
      <x:c r="J21" s="8" t="str">
        <x:f>IF(COUNTIF('Centros'!$A$2:$A$13,G21)=1,"OK","ERROR")</x:f>
        <x:v>OK</x:v>
      </x:c>
    </x:row>
    <x:row r="22">
      <x:c r="A22" s="8" t="str">
        <x:v>USR-0021</x:v>
      </x:c>
      <x:c r="B22" s="8" t="str">
        <x:v>Hugo</x:v>
      </x:c>
      <x:c r="C22" s="8" t="str">
        <x:v>Prieto Luna</x:v>
      </x:c>
      <x:c r="D22" s="8" t="str">
        <x:v>hugo-prieto.0021@renodo.example</x:v>
      </x:c>
      <x:c r="E22" s="8" t="str">
        <x:v>member</x:v>
      </x:c>
      <x:c r="F22" s="8" t="str">
        <x:v>Retiro</x:v>
      </x:c>
      <x:c r="G22" s="8" t="str">
        <x:v>HUB-MAD-009</x:v>
      </x:c>
      <x:c r="H22" s="9" t="b">
        <x:v>1</x:v>
      </x:c>
      <x:c r="I22" s="10" t="n">
        <x:v>45756.416666666664</x:v>
      </x:c>
      <x:c r="J22" s="8" t="str">
        <x:f>IF(COUNTIF('Centros'!$A$2:$A$13,G22)=1,"OK","ERROR")</x:f>
        <x:v>OK</x:v>
      </x:c>
    </x:row>
    <x:row r="23">
      <x:c r="A23" s="8" t="str">
        <x:v>USR-0022</x:v>
      </x:c>
      <x:c r="B23" s="8" t="str">
        <x:v>Álvaro</x:v>
      </x:c>
      <x:c r="C23" s="8" t="str">
        <x:v>Campos Peña</x:v>
      </x:c>
      <x:c r="D23" s="8" t="str">
        <x:v>alvaro-campos.0022@renodo.example</x:v>
      </x:c>
      <x:c r="E23" s="8" t="str">
        <x:v>member</x:v>
      </x:c>
      <x:c r="F23" s="8" t="str">
        <x:v>Hortaleza</x:v>
      </x:c>
      <x:c r="G23" s="8" t="str">
        <x:v>HUB-MAD-010</x:v>
      </x:c>
      <x:c r="H23" s="9" t="b">
        <x:v>1</x:v>
      </x:c>
      <x:c r="I23" s="10" t="n">
        <x:v>45767.416666666664</x:v>
      </x:c>
      <x:c r="J23" s="8" t="str">
        <x:f>IF(COUNTIF('Centros'!$A$2:$A$13,G23)=1,"OK","ERROR")</x:f>
        <x:v>OK</x:v>
      </x:c>
    </x:row>
    <x:row r="24">
      <x:c r="A24" s="8" t="str">
        <x:v>USR-0023</x:v>
      </x:c>
      <x:c r="B24" s="8" t="str">
        <x:v>Inés</x:v>
      </x:c>
      <x:c r="C24" s="8" t="str">
        <x:v>Vidal Serra</x:v>
      </x:c>
      <x:c r="D24" s="8" t="str">
        <x:v>ines-vidal.0023@renodo.example</x:v>
      </x:c>
      <x:c r="E24" s="8" t="str">
        <x:v>member</x:v>
      </x:c>
      <x:c r="F24" s="8" t="str">
        <x:v>Latina</x:v>
      </x:c>
      <x:c r="G24" s="8" t="str">
        <x:v>HUB-MAD-011</x:v>
      </x:c>
      <x:c r="H24" s="9" t="b">
        <x:v>1</x:v>
      </x:c>
      <x:c r="I24" s="10" t="n">
        <x:v>45778.416666666664</x:v>
      </x:c>
      <x:c r="J24" s="8" t="str">
        <x:f>IF(COUNTIF('Centros'!$A$2:$A$13,G24)=1,"OK","ERROR")</x:f>
        <x:v>OK</x:v>
      </x:c>
    </x:row>
    <x:row r="25">
      <x:c r="A25" s="8" t="str">
        <x:v>USR-0024</x:v>
      </x:c>
      <x:c r="B25" s="8" t="str">
        <x:v>Iker</x:v>
      </x:c>
      <x:c r="C25" s="8" t="str">
        <x:v>Navarro Gil</x:v>
      </x:c>
      <x:c r="D25" s="8" t="str">
        <x:v>iker-navarro.0024@renodo.example</x:v>
      </x:c>
      <x:c r="E25" s="8" t="str">
        <x:v>member</x:v>
      </x:c>
      <x:c r="F25" s="8" t="str">
        <x:v>Moncloa-Aravaca</x:v>
      </x:c>
      <x:c r="G25" s="8" t="str">
        <x:v>HUB-MAD-012</x:v>
      </x:c>
      <x:c r="H25" s="9" t="b">
        <x:v>0</x:v>
      </x:c>
      <x:c r="I25" s="10" t="n">
        <x:v>45789.416666666664</x:v>
      </x:c>
      <x:c r="J25" s="8" t="str">
        <x:f>IF(COUNTIF('Centros'!$A$2:$A$13,G25)=1,"OK","ERROR")</x:f>
        <x:v>OK</x:v>
      </x:c>
    </x:row>
    <x:row r="26">
      <x:c r="A26" s="8" t="str">
        <x:v>USR-0025</x:v>
      </x:c>
      <x:c r="B26" s="8" t="str">
        <x:v>Irene</x:v>
      </x:c>
      <x:c r="C26" s="8" t="str">
        <x:v>García Martín</x:v>
      </x:c>
      <x:c r="D26" s="8" t="str">
        <x:v>irene-garcia.0025@renodo.example</x:v>
      </x:c>
      <x:c r="E26" s="8" t="str">
        <x:v>member</x:v>
      </x:c>
      <x:c r="F26" s="8" t="str">
        <x:v>Centro</x:v>
      </x:c>
      <x:c r="G26" s="8" t="str">
        <x:v>HUB-MAD-001</x:v>
      </x:c>
      <x:c r="H26" s="9" t="b">
        <x:v>1</x:v>
      </x:c>
      <x:c r="I26" s="10" t="n">
        <x:v>45800.416666666664</x:v>
      </x:c>
      <x:c r="J26" s="8" t="str">
        <x:f>IF(COUNTIF('Centros'!$A$2:$A$13,G26)=1,"OK","ERROR")</x:f>
        <x:v>OK</x:v>
      </x:c>
    </x:row>
    <x:row r="27">
      <x:c r="A27" s="8" t="str">
        <x:v>USR-0026</x:v>
      </x:c>
      <x:c r="B27" s="8" t="str">
        <x:v>Nora</x:v>
      </x:c>
      <x:c r="C27" s="8" t="str">
        <x:v>Santos Vega</x:v>
      </x:c>
      <x:c r="D27" s="8" t="str">
        <x:v>nora-santos.0026@renodo.example</x:v>
      </x:c>
      <x:c r="E27" s="8" t="str">
        <x:v>member</x:v>
      </x:c>
      <x:c r="F27" s="8" t="str">
        <x:v>Centro</x:v>
      </x:c>
      <x:c r="G27" s="8" t="str">
        <x:v>HUB-MAD-002</x:v>
      </x:c>
      <x:c r="H27" s="9" t="b">
        <x:v>1</x:v>
      </x:c>
      <x:c r="I27" s="10" t="n">
        <x:v>45811.416666666664</x:v>
      </x:c>
      <x:c r="J27" s="8" t="str">
        <x:f>IF(COUNTIF('Centros'!$A$2:$A$13,G27)=1,"OK","ERROR")</x:f>
        <x:v>OK</x:v>
      </x:c>
    </x:row>
    <x:row r="28">
      <x:c r="A28" s="8" t="str">
        <x:v>USR-0027</x:v>
      </x:c>
      <x:c r="B28" s="8" t="str">
        <x:v>Adrián</x:v>
      </x:c>
      <x:c r="C28" s="8" t="str">
        <x:v>Castro Ríos</x:v>
      </x:c>
      <x:c r="D28" s="8" t="str">
        <x:v>adrian-castro.0027@renodo.example</x:v>
      </x:c>
      <x:c r="E28" s="8" t="str">
        <x:v>member</x:v>
      </x:c>
      <x:c r="F28" s="8" t="str">
        <x:v>Arganzuela</x:v>
      </x:c>
      <x:c r="G28" s="8" t="str">
        <x:v>HUB-MAD-003</x:v>
      </x:c>
      <x:c r="H28" s="9" t="b">
        <x:v>1</x:v>
      </x:c>
      <x:c r="I28" s="10" t="n">
        <x:v>45822.416666666664</x:v>
      </x:c>
      <x:c r="J28" s="8" t="str">
        <x:f>IF(COUNTIF('Centros'!$A$2:$A$13,G28)=1,"OK","ERROR")</x:f>
        <x:v>OK</x:v>
      </x:c>
    </x:row>
    <x:row r="29">
      <x:c r="A29" s="8" t="str">
        <x:v>USR-0028</x:v>
      </x:c>
      <x:c r="B29" s="8" t="str">
        <x:v>Paula</x:v>
      </x:c>
      <x:c r="C29" s="8" t="str">
        <x:v>Castro Ríos</x:v>
      </x:c>
      <x:c r="D29" s="8" t="str">
        <x:v>paula-castro.0028@renodo.example</x:v>
      </x:c>
      <x:c r="E29" s="8" t="str">
        <x:v>member</x:v>
      </x:c>
      <x:c r="F29" s="8" t="str">
        <x:v>Chamberí</x:v>
      </x:c>
      <x:c r="G29" s="8" t="str">
        <x:v>HUB-MAD-004</x:v>
      </x:c>
      <x:c r="H29" s="9" t="b">
        <x:v>1</x:v>
      </x:c>
      <x:c r="I29" s="10" t="n">
        <x:v>45833.416666666664</x:v>
      </x:c>
      <x:c r="J29" s="8" t="str">
        <x:f>IF(COUNTIF('Centros'!$A$2:$A$13,G29)=1,"OK","ERROR")</x:f>
        <x:v>OK</x:v>
      </x:c>
    </x:row>
    <x:row r="30">
      <x:c r="A30" s="8" t="str">
        <x:v>USR-0029</x:v>
      </x:c>
      <x:c r="B30" s="8" t="str">
        <x:v>Omar</x:v>
      </x:c>
      <x:c r="C30" s="8" t="str">
        <x:v>Ortega Soler</x:v>
      </x:c>
      <x:c r="D30" s="8" t="str">
        <x:v>omar-ortega.0029@renodo.example</x:v>
      </x:c>
      <x:c r="E30" s="8" t="str">
        <x:v>member</x:v>
      </x:c>
      <x:c r="F30" s="8" t="str">
        <x:v>Tetuán</x:v>
      </x:c>
      <x:c r="G30" s="8" t="str">
        <x:v>HUB-MAD-005</x:v>
      </x:c>
      <x:c r="H30" s="9" t="b">
        <x:v>1</x:v>
      </x:c>
      <x:c r="I30" s="10" t="n">
        <x:v>45844.416666666664</x:v>
      </x:c>
      <x:c r="J30" s="8" t="str">
        <x:f>IF(COUNTIF('Centros'!$A$2:$A$13,G30)=1,"OK","ERROR")</x:f>
        <x:v>OK</x:v>
      </x:c>
    </x:row>
    <x:row r="31">
      <x:c r="A31" s="8" t="str">
        <x:v>USR-0030</x:v>
      </x:c>
      <x:c r="B31" s="8" t="str">
        <x:v>Hugo</x:v>
      </x:c>
      <x:c r="C31" s="8" t="str">
        <x:v>Vidal Serra</x:v>
      </x:c>
      <x:c r="D31" s="8" t="str">
        <x:v>hugo-vidal.0030@renodo.example</x:v>
      </x:c>
      <x:c r="E31" s="8" t="str">
        <x:v>member</x:v>
      </x:c>
      <x:c r="F31" s="8" t="str">
        <x:v>Carabanchel</x:v>
      </x:c>
      <x:c r="G31" s="8" t="str">
        <x:v>HUB-MAD-006</x:v>
      </x:c>
      <x:c r="H31" s="9" t="b">
        <x:v>1</x:v>
      </x:c>
      <x:c r="I31" s="10" t="n">
        <x:v>45855.416666666664</x:v>
      </x:c>
      <x:c r="J31" s="8" t="str">
        <x:f>IF(COUNTIF('Centros'!$A$2:$A$13,G31)=1,"OK","ERROR")</x:f>
        <x:v>OK</x:v>
      </x:c>
    </x:row>
    <x:row r="32">
      <x:c r="A32" s="8" t="str">
        <x:v>USR-0031</x:v>
      </x:c>
      <x:c r="B32" s="8" t="str">
        <x:v>Paula</x:v>
      </x:c>
      <x:c r="C32" s="8" t="str">
        <x:v>Torres León</x:v>
      </x:c>
      <x:c r="D32" s="8" t="str">
        <x:v>paula-torres.0031@renodo.example</x:v>
      </x:c>
      <x:c r="E32" s="8" t="str">
        <x:v>member</x:v>
      </x:c>
      <x:c r="F32" s="8" t="str">
        <x:v>Usera</x:v>
      </x:c>
      <x:c r="G32" s="8" t="str">
        <x:v>HUB-MAD-007</x:v>
      </x:c>
      <x:c r="H32" s="9" t="b">
        <x:v>1</x:v>
      </x:c>
      <x:c r="I32" s="10" t="n">
        <x:v>45866.416666666664</x:v>
      </x:c>
      <x:c r="J32" s="8" t="str">
        <x:f>IF(COUNTIF('Centros'!$A$2:$A$13,G32)=1,"OK","ERROR")</x:f>
        <x:v>OK</x:v>
      </x:c>
    </x:row>
    <x:row r="33">
      <x:c r="A33" s="8" t="str">
        <x:v>USR-0032</x:v>
      </x:c>
      <x:c r="B33" s="8" t="str">
        <x:v>Daniel</x:v>
      </x:c>
      <x:c r="C33" s="8" t="str">
        <x:v>Torres León</x:v>
      </x:c>
      <x:c r="D33" s="8" t="str">
        <x:v>daniel-torres.0032@renodo.example</x:v>
      </x:c>
      <x:c r="E33" s="8" t="str">
        <x:v>member</x:v>
      </x:c>
      <x:c r="F33" s="8" t="str">
        <x:v>Puente de Vallecas</x:v>
      </x:c>
      <x:c r="G33" s="8" t="str">
        <x:v>HUB-MAD-008</x:v>
      </x:c>
      <x:c r="H33" s="9" t="b">
        <x:v>1</x:v>
      </x:c>
      <x:c r="I33" s="10" t="n">
        <x:v>45877.416666666664</x:v>
      </x:c>
      <x:c r="J33" s="8" t="str">
        <x:f>IF(COUNTIF('Centros'!$A$2:$A$13,G33)=1,"OK","ERROR")</x:f>
        <x:v>OK</x:v>
      </x:c>
    </x:row>
    <x:row r="34">
      <x:c r="A34" s="8" t="str">
        <x:v>USR-0033</x:v>
      </x:c>
      <x:c r="B34" s="8" t="str">
        <x:v>Nora</x:v>
      </x:c>
      <x:c r="C34" s="8" t="str">
        <x:v>García Martín</x:v>
      </x:c>
      <x:c r="D34" s="8" t="str">
        <x:v>nora-garcia.0033@renodo.example</x:v>
      </x:c>
      <x:c r="E34" s="8" t="str">
        <x:v>member</x:v>
      </x:c>
      <x:c r="F34" s="8" t="str">
        <x:v>Retiro</x:v>
      </x:c>
      <x:c r="G34" s="8" t="str">
        <x:v>HUB-MAD-009</x:v>
      </x:c>
      <x:c r="H34" s="9" t="b">
        <x:v>1</x:v>
      </x:c>
      <x:c r="I34" s="10" t="n">
        <x:v>45888.416666666664</x:v>
      </x:c>
      <x:c r="J34" s="8" t="str">
        <x:f>IF(COUNTIF('Centros'!$A$2:$A$13,G34)=1,"OK","ERROR")</x:f>
        <x:v>OK</x:v>
      </x:c>
    </x:row>
    <x:row r="35">
      <x:c r="A35" s="8" t="str">
        <x:v>USR-0034</x:v>
      </x:c>
      <x:c r="B35" s="8" t="str">
        <x:v>Bruno</x:v>
      </x:c>
      <x:c r="C35" s="8" t="str">
        <x:v>López Ruiz</x:v>
      </x:c>
      <x:c r="D35" s="8" t="str">
        <x:v>bruno-lopez.0034@renodo.example</x:v>
      </x:c>
      <x:c r="E35" s="8" t="str">
        <x:v>member</x:v>
      </x:c>
      <x:c r="F35" s="8" t="str">
        <x:v>Hortaleza</x:v>
      </x:c>
      <x:c r="G35" s="8" t="str">
        <x:v>HUB-MAD-010</x:v>
      </x:c>
      <x:c r="H35" s="9" t="b">
        <x:v>1</x:v>
      </x:c>
      <x:c r="I35" s="10" t="n">
        <x:v>45899.416666666664</x:v>
      </x:c>
      <x:c r="J35" s="8" t="str">
        <x:f>IF(COUNTIF('Centros'!$A$2:$A$13,G35)=1,"OK","ERROR")</x:f>
        <x:v>OK</x:v>
      </x:c>
    </x:row>
    <x:row r="36">
      <x:c r="A36" s="8" t="str">
        <x:v>USR-0035</x:v>
      </x:c>
      <x:c r="B36" s="8" t="str">
        <x:v>Sara</x:v>
      </x:c>
      <x:c r="C36" s="8" t="str">
        <x:v>Santos Vega</x:v>
      </x:c>
      <x:c r="D36" s="8" t="str">
        <x:v>sara-santos.0035@renodo.example</x:v>
      </x:c>
      <x:c r="E36" s="8" t="str">
        <x:v>member</x:v>
      </x:c>
      <x:c r="F36" s="8" t="str">
        <x:v>Latina</x:v>
      </x:c>
      <x:c r="G36" s="8" t="str">
        <x:v>HUB-MAD-011</x:v>
      </x:c>
      <x:c r="H36" s="9" t="b">
        <x:v>1</x:v>
      </x:c>
      <x:c r="I36" s="10" t="n">
        <x:v>45910.416666666664</x:v>
      </x:c>
      <x:c r="J36" s="8" t="str">
        <x:f>IF(COUNTIF('Centros'!$A$2:$A$13,G36)=1,"OK","ERROR")</x:f>
        <x:v>OK</x:v>
      </x:c>
    </x:row>
    <x:row r="37">
      <x:c r="A37" s="8" t="str">
        <x:v>USR-0036</x:v>
      </x:c>
      <x:c r="B37" s="8" t="str">
        <x:v>Leo</x:v>
      </x:c>
      <x:c r="C37" s="8" t="str">
        <x:v>Torres León</x:v>
      </x:c>
      <x:c r="D37" s="8" t="str">
        <x:v>leo-torres.0036@renodo.example</x:v>
      </x:c>
      <x:c r="E37" s="8" t="str">
        <x:v>member</x:v>
      </x:c>
      <x:c r="F37" s="8" t="str">
        <x:v>Moncloa-Aravaca</x:v>
      </x:c>
      <x:c r="G37" s="8" t="str">
        <x:v>HUB-MAD-012</x:v>
      </x:c>
      <x:c r="H37" s="9" t="b">
        <x:v>1</x:v>
      </x:c>
      <x:c r="I37" s="10" t="n">
        <x:v>45921.416666666664</x:v>
      </x:c>
      <x:c r="J37" s="8" t="str">
        <x:f>IF(COUNTIF('Centros'!$A$2:$A$13,G37)=1,"OK","ERROR")</x:f>
        <x:v>OK</x:v>
      </x:c>
    </x:row>
    <x:row r="38">
      <x:c r="A38" s="8" t="str">
        <x:v>USR-0037</x:v>
      </x:c>
      <x:c r="B38" s="8" t="str">
        <x:v>Leo</x:v>
      </x:c>
      <x:c r="C38" s="8" t="str">
        <x:v>Castro Ríos</x:v>
      </x:c>
      <x:c r="D38" s="8" t="str">
        <x:v>leo-castro.0037@renodo.example</x:v>
      </x:c>
      <x:c r="E38" s="8" t="str">
        <x:v>member</x:v>
      </x:c>
      <x:c r="F38" s="8" t="str">
        <x:v>Centro</x:v>
      </x:c>
      <x:c r="G38" s="8" t="str">
        <x:v>HUB-MAD-001</x:v>
      </x:c>
      <x:c r="H38" s="9" t="b">
        <x:v>1</x:v>
      </x:c>
      <x:c r="I38" s="10" t="n">
        <x:v>45932.416666666664</x:v>
      </x:c>
      <x:c r="J38" s="8" t="str">
        <x:f>IF(COUNTIF('Centros'!$A$2:$A$13,G38)=1,"OK","ERROR")</x:f>
        <x:v>OK</x:v>
      </x:c>
    </x:row>
    <x:row r="39">
      <x:c r="A39" s="8" t="str">
        <x:v>USR-0038</x:v>
      </x:c>
      <x:c r="B39" s="8" t="str">
        <x:v>Mario</x:v>
      </x:c>
      <x:c r="C39" s="8" t="str">
        <x:v>López Ruiz</x:v>
      </x:c>
      <x:c r="D39" s="8" t="str">
        <x:v>mario-lopez.0038@renodo.example</x:v>
      </x:c>
      <x:c r="E39" s="8" t="str">
        <x:v>member</x:v>
      </x:c>
      <x:c r="F39" s="8" t="str">
        <x:v>Centro</x:v>
      </x:c>
      <x:c r="G39" s="8" t="str">
        <x:v>HUB-MAD-002</x:v>
      </x:c>
      <x:c r="H39" s="9" t="b">
        <x:v>1</x:v>
      </x:c>
      <x:c r="I39" s="10" t="n">
        <x:v>45943.416666666664</x:v>
      </x:c>
      <x:c r="J39" s="8" t="str">
        <x:f>IF(COUNTIF('Centros'!$A$2:$A$13,G39)=1,"OK","ERROR")</x:f>
        <x:v>OK</x:v>
      </x:c>
    </x:row>
    <x:row r="40">
      <x:c r="A40" s="8" t="str">
        <x:v>USR-0039</x:v>
      </x:c>
      <x:c r="B40" s="8" t="str">
        <x:v>Omar</x:v>
      </x:c>
      <x:c r="C40" s="8" t="str">
        <x:v>Navarro Gil</x:v>
      </x:c>
      <x:c r="D40" s="8" t="str">
        <x:v>omar-navarro.0039@renodo.example</x:v>
      </x:c>
      <x:c r="E40" s="8" t="str">
        <x:v>member</x:v>
      </x:c>
      <x:c r="F40" s="8" t="str">
        <x:v>Arganzuela</x:v>
      </x:c>
      <x:c r="G40" s="8" t="str">
        <x:v>HUB-MAD-003</x:v>
      </x:c>
      <x:c r="H40" s="9" t="b">
        <x:v>1</x:v>
      </x:c>
      <x:c r="I40" s="10" t="n">
        <x:v>45954.416666666664</x:v>
      </x:c>
      <x:c r="J40" s="8" t="str">
        <x:f>IF(COUNTIF('Centros'!$A$2:$A$13,G40)=1,"OK","ERROR")</x:f>
        <x:v>OK</x:v>
      </x:c>
    </x:row>
    <x:row r="41">
      <x:c r="A41" s="8" t="str">
        <x:v>USR-0040</x:v>
      </x:c>
      <x:c r="B41" s="8" t="str">
        <x:v>Nora</x:v>
      </x:c>
      <x:c r="C41" s="8" t="str">
        <x:v>Molina Cano</x:v>
      </x:c>
      <x:c r="D41" s="8" t="str">
        <x:v>nora-molina.0040@renodo.example</x:v>
      </x:c>
      <x:c r="E41" s="8" t="str">
        <x:v>member</x:v>
      </x:c>
      <x:c r="F41" s="8" t="str">
        <x:v>Chamberí</x:v>
      </x:c>
      <x:c r="G41" s="8" t="str">
        <x:v>HUB-MAD-004</x:v>
      </x:c>
      <x:c r="H41" s="9" t="b">
        <x:v>1</x:v>
      </x:c>
      <x:c r="I41" s="10" t="n">
        <x:v>45965.416666666664</x:v>
      </x:c>
      <x:c r="J41" s="8" t="str">
        <x:f>IF(COUNTIF('Centros'!$A$2:$A$13,G41)=1,"OK","ERROR")</x:f>
        <x:v>OK</x:v>
      </x:c>
    </x:row>
    <x:row r="42">
      <x:c r="A42" s="8" t="str">
        <x:v>USR-0041</x:v>
      </x:c>
      <x:c r="B42" s="8" t="str">
        <x:v>Carmen</x:v>
      </x:c>
      <x:c r="C42" s="8" t="str">
        <x:v>Santos Vega</x:v>
      </x:c>
      <x:c r="D42" s="8" t="str">
        <x:v>carmen-santos.0041@renodo.example</x:v>
      </x:c>
      <x:c r="E42" s="8" t="str">
        <x:v>member</x:v>
      </x:c>
      <x:c r="F42" s="8" t="str">
        <x:v>Tetuán</x:v>
      </x:c>
      <x:c r="G42" s="8" t="str">
        <x:v>HUB-MAD-005</x:v>
      </x:c>
      <x:c r="H42" s="9" t="b">
        <x:v>1</x:v>
      </x:c>
      <x:c r="I42" s="10" t="n">
        <x:v>45976.416666666664</x:v>
      </x:c>
      <x:c r="J42" s="8" t="str">
        <x:f>IF(COUNTIF('Centros'!$A$2:$A$13,G42)=1,"OK","ERROR")</x:f>
        <x:v>OK</x:v>
      </x:c>
    </x:row>
    <x:row r="43">
      <x:c r="A43" s="8" t="str">
        <x:v>USR-0042</x:v>
      </x:c>
      <x:c r="B43" s="8" t="str">
        <x:v>Paula</x:v>
      </x:c>
      <x:c r="C43" s="8" t="str">
        <x:v>Molina Cano</x:v>
      </x:c>
      <x:c r="D43" s="8" t="str">
        <x:v>paula-molina.0042@renodo.example</x:v>
      </x:c>
      <x:c r="E43" s="8" t="str">
        <x:v>member</x:v>
      </x:c>
      <x:c r="F43" s="8" t="str">
        <x:v>Carabanchel</x:v>
      </x:c>
      <x:c r="G43" s="8" t="str">
        <x:v>HUB-MAD-006</x:v>
      </x:c>
      <x:c r="H43" s="9" t="b">
        <x:v>1</x:v>
      </x:c>
      <x:c r="I43" s="10" t="n">
        <x:v>45987.416666666664</x:v>
      </x:c>
      <x:c r="J43" s="8" t="str">
        <x:f>IF(COUNTIF('Centros'!$A$2:$A$13,G43)=1,"OK","ERROR")</x:f>
        <x:v>OK</x:v>
      </x:c>
    </x:row>
    <x:row r="44">
      <x:c r="A44" s="8" t="str">
        <x:v>USR-0043</x:v>
      </x:c>
      <x:c r="B44" s="8" t="str">
        <x:v>Elena</x:v>
      </x:c>
      <x:c r="C44" s="8" t="str">
        <x:v>Ortega Soler</x:v>
      </x:c>
      <x:c r="D44" s="8" t="str">
        <x:v>elena-ortega.0043@renodo.example</x:v>
      </x:c>
      <x:c r="E44" s="8" t="str">
        <x:v>member</x:v>
      </x:c>
      <x:c r="F44" s="8" t="str">
        <x:v>Usera</x:v>
      </x:c>
      <x:c r="G44" s="8" t="str">
        <x:v>HUB-MAD-007</x:v>
      </x:c>
      <x:c r="H44" s="9" t="b">
        <x:v>1</x:v>
      </x:c>
      <x:c r="I44" s="10" t="n">
        <x:v>45998.416666666664</x:v>
      </x:c>
      <x:c r="J44" s="8" t="str">
        <x:f>IF(COUNTIF('Centros'!$A$2:$A$13,G44)=1,"OK","ERROR")</x:f>
        <x:v>OK</x:v>
      </x:c>
    </x:row>
    <x:row r="45">
      <x:c r="A45" s="8" t="str">
        <x:v>USR-0044</x:v>
      </x:c>
      <x:c r="B45" s="8" t="str">
        <x:v>Irene</x:v>
      </x:c>
      <x:c r="C45" s="8" t="str">
        <x:v>García Martín</x:v>
      </x:c>
      <x:c r="D45" s="8" t="str">
        <x:v>irene-garcia.0044@renodo.example</x:v>
      </x:c>
      <x:c r="E45" s="8" t="str">
        <x:v>member</x:v>
      </x:c>
      <x:c r="F45" s="8" t="str">
        <x:v>Puente de Vallecas</x:v>
      </x:c>
      <x:c r="G45" s="8" t="str">
        <x:v>HUB-MAD-008</x:v>
      </x:c>
      <x:c r="H45" s="9" t="b">
        <x:v>1</x:v>
      </x:c>
      <x:c r="I45" s="10" t="n">
        <x:v>46009.416666666664</x:v>
      </x:c>
      <x:c r="J45" s="8" t="str">
        <x:f>IF(COUNTIF('Centros'!$A$2:$A$13,G45)=1,"OK","ERROR")</x:f>
        <x:v>OK</x:v>
      </x:c>
    </x:row>
    <x:row r="46">
      <x:c r="A46" s="8" t="str">
        <x:v>USR-0045</x:v>
      </x:c>
      <x:c r="B46" s="8" t="str">
        <x:v>Álvaro</x:v>
      </x:c>
      <x:c r="C46" s="8" t="str">
        <x:v>Ortega Soler</x:v>
      </x:c>
      <x:c r="D46" s="8" t="str">
        <x:v>alvaro-ortega.0045@renodo.example</x:v>
      </x:c>
      <x:c r="E46" s="8" t="str">
        <x:v>member</x:v>
      </x:c>
      <x:c r="F46" s="8" t="str">
        <x:v>Retiro</x:v>
      </x:c>
      <x:c r="G46" s="8" t="str">
        <x:v>HUB-MAD-009</x:v>
      </x:c>
      <x:c r="H46" s="9" t="b">
        <x:v>1</x:v>
      </x:c>
      <x:c r="I46" s="10" t="n">
        <x:v>46020.416666666664</x:v>
      </x:c>
      <x:c r="J46" s="8" t="str">
        <x:f>IF(COUNTIF('Centros'!$A$2:$A$13,G46)=1,"OK","ERROR")</x:f>
        <x:v>OK</x:v>
      </x:c>
    </x:row>
    <x:row r="47">
      <x:c r="A47" s="8" t="str">
        <x:v>USR-0046</x:v>
      </x:c>
      <x:c r="B47" s="8" t="str">
        <x:v>Paula</x:v>
      </x:c>
      <x:c r="C47" s="8" t="str">
        <x:v>García Martín</x:v>
      </x:c>
      <x:c r="D47" s="8" t="str">
        <x:v>paula-garcia.0046@renodo.example</x:v>
      </x:c>
      <x:c r="E47" s="8" t="str">
        <x:v>member</x:v>
      </x:c>
      <x:c r="F47" s="8" t="str">
        <x:v>Hortaleza</x:v>
      </x:c>
      <x:c r="G47" s="8" t="str">
        <x:v>HUB-MAD-010</x:v>
      </x:c>
      <x:c r="H47" s="9" t="b">
        <x:v>1</x:v>
      </x:c>
      <x:c r="I47" s="10" t="n">
        <x:v>46031.416666666664</x:v>
      </x:c>
      <x:c r="J47" s="8" t="str">
        <x:f>IF(COUNTIF('Centros'!$A$2:$A$13,G47)=1,"OK","ERROR")</x:f>
        <x:v>OK</x:v>
      </x:c>
    </x:row>
    <x:row r="48">
      <x:c r="A48" s="8" t="str">
        <x:v>USR-0047</x:v>
      </x:c>
      <x:c r="B48" s="8" t="str">
        <x:v>Irene</x:v>
      </x:c>
      <x:c r="C48" s="8" t="str">
        <x:v>Ortega Soler</x:v>
      </x:c>
      <x:c r="D48" s="8" t="str">
        <x:v>irene-ortega.0047@renodo.example</x:v>
      </x:c>
      <x:c r="E48" s="8" t="str">
        <x:v>member</x:v>
      </x:c>
      <x:c r="F48" s="8" t="str">
        <x:v>Latina</x:v>
      </x:c>
      <x:c r="G48" s="8" t="str">
        <x:v>HUB-MAD-011</x:v>
      </x:c>
      <x:c r="H48" s="9" t="b">
        <x:v>0</x:v>
      </x:c>
      <x:c r="I48" s="10" t="n">
        <x:v>46042.416666666664</x:v>
      </x:c>
      <x:c r="J48" s="8" t="str">
        <x:f>IF(COUNTIF('Centros'!$A$2:$A$13,G48)=1,"OK","ERROR")</x:f>
        <x:v>OK</x:v>
      </x:c>
    </x:row>
    <x:row r="49">
      <x:c r="A49" s="8" t="str">
        <x:v>USR-0048</x:v>
      </x:c>
      <x:c r="B49" s="8" t="str">
        <x:v>Iker</x:v>
      </x:c>
      <x:c r="C49" s="8" t="str">
        <x:v>Navarro Gil</x:v>
      </x:c>
      <x:c r="D49" s="8" t="str">
        <x:v>iker-navarro.0048@renodo.example</x:v>
      </x:c>
      <x:c r="E49" s="8" t="str">
        <x:v>member</x:v>
      </x:c>
      <x:c r="F49" s="8" t="str">
        <x:v>Moncloa-Aravaca</x:v>
      </x:c>
      <x:c r="G49" s="8" t="str">
        <x:v>HUB-MAD-012</x:v>
      </x:c>
      <x:c r="H49" s="9" t="b">
        <x:v>1</x:v>
      </x:c>
      <x:c r="I49" s="10" t="n">
        <x:v>46053.416666666664</x:v>
      </x:c>
      <x:c r="J49" s="8" t="str">
        <x:f>IF(COUNTIF('Centros'!$A$2:$A$13,G49)=1,"OK","ERROR")</x:f>
        <x:v>OK</x:v>
      </x:c>
    </x:row>
    <x:row r="50">
      <x:c r="A50" s="8" t="str">
        <x:v>USR-0049</x:v>
      </x:c>
      <x:c r="B50" s="8" t="str">
        <x:v>Paula</x:v>
      </x:c>
      <x:c r="C50" s="8" t="str">
        <x:v>Navarro Gil</x:v>
      </x:c>
      <x:c r="D50" s="8" t="str">
        <x:v>paula-navarro.0049@renodo.example</x:v>
      </x:c>
      <x:c r="E50" s="8" t="str">
        <x:v>member</x:v>
      </x:c>
      <x:c r="F50" s="8" t="str">
        <x:v>Centro</x:v>
      </x:c>
      <x:c r="G50" s="8" t="str">
        <x:v>HUB-MAD-001</x:v>
      </x:c>
      <x:c r="H50" s="9" t="b">
        <x:v>1</x:v>
      </x:c>
      <x:c r="I50" s="10" t="n">
        <x:v>46064.416666666664</x:v>
      </x:c>
      <x:c r="J50" s="8" t="str">
        <x:f>IF(COUNTIF('Centros'!$A$2:$A$13,G50)=1,"OK","ERROR")</x:f>
        <x:v>OK</x:v>
      </x:c>
    </x:row>
    <x:row r="51">
      <x:c r="A51" s="8" t="str">
        <x:v>USR-0050</x:v>
      </x:c>
      <x:c r="B51" s="8" t="str">
        <x:v>Mario</x:v>
      </x:c>
      <x:c r="C51" s="8" t="str">
        <x:v>Ortega Soler</x:v>
      </x:c>
      <x:c r="D51" s="8" t="str">
        <x:v>mario-ortega.0050@renodo.example</x:v>
      </x:c>
      <x:c r="E51" s="8" t="str">
        <x:v>member</x:v>
      </x:c>
      <x:c r="F51" s="8" t="str">
        <x:v>Centro</x:v>
      </x:c>
      <x:c r="G51" s="8" t="str">
        <x:v>HUB-MAD-002</x:v>
      </x:c>
      <x:c r="H51" s="9" t="b">
        <x:v>1</x:v>
      </x:c>
      <x:c r="I51" s="10" t="n">
        <x:v>46075.416666666664</x:v>
      </x:c>
      <x:c r="J51" s="8" t="str">
        <x:f>IF(COUNTIF('Centros'!$A$2:$A$13,G51)=1,"OK","ERROR")</x:f>
        <x:v>OK</x:v>
      </x:c>
    </x:row>
    <x:row r="52">
      <x:c r="A52" s="8" t="str">
        <x:v>USR-0051</x:v>
      </x:c>
      <x:c r="B52" s="8" t="str">
        <x:v>Laia</x:v>
      </x:c>
      <x:c r="C52" s="8" t="str">
        <x:v>Romero Díaz</x:v>
      </x:c>
      <x:c r="D52" s="8" t="str">
        <x:v>laia-romero.0051@renodo.example</x:v>
      </x:c>
      <x:c r="E52" s="8" t="str">
        <x:v>member</x:v>
      </x:c>
      <x:c r="F52" s="8" t="str">
        <x:v>Arganzuela</x:v>
      </x:c>
      <x:c r="G52" s="8" t="str">
        <x:v>HUB-MAD-003</x:v>
      </x:c>
      <x:c r="H52" s="9" t="b">
        <x:v>1</x:v>
      </x:c>
      <x:c r="I52" s="10" t="n">
        <x:v>46086.416666666664</x:v>
      </x:c>
      <x:c r="J52" s="8" t="str">
        <x:f>IF(COUNTIF('Centros'!$A$2:$A$13,G52)=1,"OK","ERROR")</x:f>
        <x:v>OK</x:v>
      </x:c>
    </x:row>
    <x:row r="53">
      <x:c r="A53" s="8" t="str">
        <x:v>USR-0052</x:v>
      </x:c>
      <x:c r="B53" s="8" t="str">
        <x:v>Inés</x:v>
      </x:c>
      <x:c r="C53" s="8" t="str">
        <x:v>Campos Peña</x:v>
      </x:c>
      <x:c r="D53" s="8" t="str">
        <x:v>ines-campos.0052@renodo.example</x:v>
      </x:c>
      <x:c r="E53" s="8" t="str">
        <x:v>member</x:v>
      </x:c>
      <x:c r="F53" s="8" t="str">
        <x:v>Chamberí</x:v>
      </x:c>
      <x:c r="G53" s="8" t="str">
        <x:v>HUB-MAD-004</x:v>
      </x:c>
      <x:c r="H53" s="9" t="b">
        <x:v>1</x:v>
      </x:c>
      <x:c r="I53" s="10" t="n">
        <x:v>46097.416666666664</x:v>
      </x:c>
      <x:c r="J53" s="8" t="str">
        <x:f>IF(COUNTIF('Centros'!$A$2:$A$13,G53)=1,"OK","ERROR")</x:f>
        <x:v>OK</x:v>
      </x:c>
    </x:row>
    <x:row r="54">
      <x:c r="A54" s="8" t="str">
        <x:v>USR-0053</x:v>
      </x:c>
      <x:c r="B54" s="8" t="str">
        <x:v>Inés</x:v>
      </x:c>
      <x:c r="C54" s="8" t="str">
        <x:v>Prieto Luna</x:v>
      </x:c>
      <x:c r="D54" s="8" t="str">
        <x:v>ines-prieto.0053@renodo.example</x:v>
      </x:c>
      <x:c r="E54" s="8" t="str">
        <x:v>member</x:v>
      </x:c>
      <x:c r="F54" s="8" t="str">
        <x:v>Tetuán</x:v>
      </x:c>
      <x:c r="G54" s="8" t="str">
        <x:v>HUB-MAD-005</x:v>
      </x:c>
      <x:c r="H54" s="9" t="b">
        <x:v>1</x:v>
      </x:c>
      <x:c r="I54" s="10" t="n">
        <x:v>46108.416666666664</x:v>
      </x:c>
      <x:c r="J54" s="8" t="str">
        <x:f>IF(COUNTIF('Centros'!$A$2:$A$13,G54)=1,"OK","ERROR")</x:f>
        <x:v>OK</x:v>
      </x:c>
    </x:row>
    <x:row r="55">
      <x:c r="A55" s="8" t="str">
        <x:v>USR-0054</x:v>
      </x:c>
      <x:c r="B55" s="8" t="str">
        <x:v>Hugo</x:v>
      </x:c>
      <x:c r="C55" s="8" t="str">
        <x:v>Navarro Gil</x:v>
      </x:c>
      <x:c r="D55" s="8" t="str">
        <x:v>hugo-navarro.0054@renodo.example</x:v>
      </x:c>
      <x:c r="E55" s="8" t="str">
        <x:v>member</x:v>
      </x:c>
      <x:c r="F55" s="8" t="str">
        <x:v>Carabanchel</x:v>
      </x:c>
      <x:c r="G55" s="8" t="str">
        <x:v>HUB-MAD-006</x:v>
      </x:c>
      <x:c r="H55" s="9" t="b">
        <x:v>1</x:v>
      </x:c>
      <x:c r="I55" s="10" t="n">
        <x:v>46119.416666666664</x:v>
      </x:c>
      <x:c r="J55" s="8" t="str">
        <x:f>IF(COUNTIF('Centros'!$A$2:$A$13,G55)=1,"OK","ERROR")</x:f>
        <x:v>OK</x:v>
      </x:c>
    </x:row>
    <x:row r="56">
      <x:c r="A56" s="8" t="str">
        <x:v>USR-0055</x:v>
      </x:c>
      <x:c r="B56" s="8" t="str">
        <x:v>Inés</x:v>
      </x:c>
      <x:c r="C56" s="8" t="str">
        <x:v>Torres León</x:v>
      </x:c>
      <x:c r="D56" s="8" t="str">
        <x:v>ines-torres.0055@renodo.example</x:v>
      </x:c>
      <x:c r="E56" s="8" t="str">
        <x:v>member</x:v>
      </x:c>
      <x:c r="F56" s="8" t="str">
        <x:v>Usera</x:v>
      </x:c>
      <x:c r="G56" s="8" t="str">
        <x:v>HUB-MAD-007</x:v>
      </x:c>
      <x:c r="H56" s="9" t="b">
        <x:v>1</x:v>
      </x:c>
      <x:c r="I56" s="10" t="n">
        <x:v>46130.416666666664</x:v>
      </x:c>
      <x:c r="J56" s="8" t="str">
        <x:f>IF(COUNTIF('Centros'!$A$2:$A$13,G56)=1,"OK","ERROR")</x:f>
        <x:v>OK</x:v>
      </x:c>
    </x:row>
    <x:row r="57">
      <x:c r="A57" s="8" t="str">
        <x:v>USR-0056</x:v>
      </x:c>
      <x:c r="B57" s="8" t="str">
        <x:v>Sara</x:v>
      </x:c>
      <x:c r="C57" s="8" t="str">
        <x:v>López Ruiz</x:v>
      </x:c>
      <x:c r="D57" s="8" t="str">
        <x:v>sara-lopez.0056@renodo.example</x:v>
      </x:c>
      <x:c r="E57" s="8" t="str">
        <x:v>member</x:v>
      </x:c>
      <x:c r="F57" s="8" t="str">
        <x:v>Puente de Vallecas</x:v>
      </x:c>
      <x:c r="G57" s="8" t="str">
        <x:v>HUB-MAD-008</x:v>
      </x:c>
      <x:c r="H57" s="9" t="b">
        <x:v>1</x:v>
      </x:c>
      <x:c r="I57" s="10" t="n">
        <x:v>46141.416666666664</x:v>
      </x:c>
      <x:c r="J57" s="8" t="str">
        <x:f>IF(COUNTIF('Centros'!$A$2:$A$13,G57)=1,"OK","ERROR")</x:f>
        <x:v>OK</x:v>
      </x:c>
    </x:row>
    <x:row r="58">
      <x:c r="A58" s="8" t="str">
        <x:v>USR-0057</x:v>
      </x:c>
      <x:c r="B58" s="8" t="str">
        <x:v>Carmen</x:v>
      </x:c>
      <x:c r="C58" s="8" t="str">
        <x:v>Santos Vega</x:v>
      </x:c>
      <x:c r="D58" s="8" t="str">
        <x:v>carmen-santos.0057@renodo.example</x:v>
      </x:c>
      <x:c r="E58" s="8" t="str">
        <x:v>member</x:v>
      </x:c>
      <x:c r="F58" s="8" t="str">
        <x:v>Retiro</x:v>
      </x:c>
      <x:c r="G58" s="8" t="str">
        <x:v>HUB-MAD-009</x:v>
      </x:c>
      <x:c r="H58" s="9" t="b">
        <x:v>1</x:v>
      </x:c>
      <x:c r="I58" s="10" t="n">
        <x:v>46152.416666666664</x:v>
      </x:c>
      <x:c r="J58" s="8" t="str">
        <x:f>IF(COUNTIF('Centros'!$A$2:$A$13,G58)=1,"OK","ERROR")</x:f>
        <x:v>OK</x:v>
      </x:c>
    </x:row>
    <x:row r="59">
      <x:c r="A59" s="8" t="str">
        <x:v>USR-0058</x:v>
      </x:c>
      <x:c r="B59" s="8" t="str">
        <x:v>Marta</x:v>
      </x:c>
      <x:c r="C59" s="8" t="str">
        <x:v>Santos Vega</x:v>
      </x:c>
      <x:c r="D59" s="8" t="str">
        <x:v>marta-santos.0058@renodo.example</x:v>
      </x:c>
      <x:c r="E59" s="8" t="str">
        <x:v>member</x:v>
      </x:c>
      <x:c r="F59" s="8" t="str">
        <x:v>Hortaleza</x:v>
      </x:c>
      <x:c r="G59" s="8" t="str">
        <x:v>HUB-MAD-010</x:v>
      </x:c>
      <x:c r="H59" s="9" t="b">
        <x:v>1</x:v>
      </x:c>
      <x:c r="I59" s="10" t="n">
        <x:v>46163.416666666664</x:v>
      </x:c>
      <x:c r="J59" s="8" t="str">
        <x:f>IF(COUNTIF('Centros'!$A$2:$A$13,G59)=1,"OK","ERROR")</x:f>
        <x:v>OK</x:v>
      </x:c>
    </x:row>
    <x:row r="60">
      <x:c r="A60" s="8" t="str">
        <x:v>USR-0059</x:v>
      </x:c>
      <x:c r="B60" s="8" t="str">
        <x:v>Álvaro</x:v>
      </x:c>
      <x:c r="C60" s="8" t="str">
        <x:v>García Martín</x:v>
      </x:c>
      <x:c r="D60" s="8" t="str">
        <x:v>alvaro-garcia.0059@renodo.example</x:v>
      </x:c>
      <x:c r="E60" s="8" t="str">
        <x:v>member</x:v>
      </x:c>
      <x:c r="F60" s="8" t="str">
        <x:v>Latina</x:v>
      </x:c>
      <x:c r="G60" s="8" t="str">
        <x:v>HUB-MAD-011</x:v>
      </x:c>
      <x:c r="H60" s="9" t="b">
        <x:v>1</x:v>
      </x:c>
      <x:c r="I60" s="10" t="n">
        <x:v>46174.416666666664</x:v>
      </x:c>
      <x:c r="J60" s="8" t="str">
        <x:f>IF(COUNTIF('Centros'!$A$2:$A$13,G60)=1,"OK","ERROR")</x:f>
        <x:v>OK</x:v>
      </x:c>
    </x:row>
    <x:row r="61">
      <x:c r="A61" s="11" t="str">
        <x:v>USR-0060</x:v>
      </x:c>
      <x:c r="B61" s="11" t="str">
        <x:v>Daniel</x:v>
      </x:c>
      <x:c r="C61" s="11" t="str">
        <x:v>Torres León</x:v>
      </x:c>
      <x:c r="D61" s="11" t="str">
        <x:v>daniel-torres.0060@renodo.example</x:v>
      </x:c>
      <x:c r="E61" s="11" t="str">
        <x:v>member</x:v>
      </x:c>
      <x:c r="F61" s="11" t="str">
        <x:v>Moncloa-Aravaca</x:v>
      </x:c>
      <x:c r="G61" s="11" t="str">
        <x:v>HUB-MAD-012</x:v>
      </x:c>
      <x:c r="H61" s="12" t="b">
        <x:v>1</x:v>
      </x:c>
      <x:c r="I61" s="13" t="n">
        <x:v>46185.416666666664</x:v>
      </x:c>
      <x:c r="J61" s="11" t="str">
        <x:f>IF(COUNTIF('Centros'!$A$2:$A$13,G61)=1,"OK","ERROR")</x:f>
        <x:v>OK</x:v>
      </x:c>
    </x:row>
  </x:sheetData>
  <x:dataValidations count="1">
    <x:dataValidation type="list" sqref="E2:E61">
      <x:formula1>"member,manager,admin"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21bb14d273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20" hidden="0" customWidth="1"/>
    <x:col min="5" max="5" width="19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31" hidden="0" customWidth="1"/>
    <x:col min="12" max="12" width="31" hidden="0" customWidth="1"/>
    <x:col min="13" max="13" width="11" hidden="0" customWidth="1"/>
    <x:col min="14" max="14" width="20" hidden="0" customWidth="1"/>
  </x:cols>
  <x:sheetData>
    <x:row r="1" ht="32" customHeight="1">
      <x:c r="A1" s="7" t="str">
        <x:v>external_code</x:v>
      </x:c>
      <x:c r="B1" s="7" t="str">
        <x:v>name</x:v>
      </x:c>
      <x:c r="C1" s="7" t="str">
        <x:v>slug</x:v>
      </x:c>
      <x:c r="D1" s="7" t="str">
        <x:v>district</x:v>
      </x:c>
      <x:c r="E1" s="7" t="str">
        <x:v>neighborhood</x:v>
      </x:c>
      <x:c r="F1" s="7" t="str">
        <x:v>address</x:v>
      </x:c>
      <x:c r="G1" s="7" t="str">
        <x:v>postal_code</x:v>
      </x:c>
      <x:c r="H1" s="7" t="str">
        <x:v>latitude</x:v>
      </x:c>
      <x:c r="I1" s="7" t="str">
        <x:v>longitude</x:v>
      </x:c>
      <x:c r="J1" s="7" t="str">
        <x:v>opening_hours</x:v>
      </x:c>
      <x:c r="K1" s="7" t="str">
        <x:v>contact_email</x:v>
      </x:c>
      <x:c r="L1" s="7" t="str">
        <x:v>manager_email</x:v>
      </x:c>
      <x:c r="M1" s="7" t="str">
        <x:v>is_active</x:v>
      </x:c>
      <x:c r="N1" s="7" t="str">
        <x:v>created_at</x:v>
      </x:c>
    </x:row>
    <x:row r="2">
      <x:c r="A2" s="8" t="str">
        <x:v>HUB-MAD-001</x:v>
      </x:c>
      <x:c r="B2" s="8" t="str">
        <x:v>Nodo Malasaña</x:v>
      </x:c>
      <x:c r="C2" s="8" t="str">
        <x:v>nodo-malasana</x:v>
      </x:c>
      <x:c r="D2" s="8" t="str">
        <x:v>Centro</x:v>
      </x:c>
      <x:c r="E2" s="8" t="str">
        <x:v>Universidad</x:v>
      </x:c>
      <x:c r="F2" s="8" t="str">
        <x:v>Calle Nodo Norte, 12</x:v>
      </x:c>
      <x:c r="G2" s="16" t="str">
        <x:v>28004</x:v>
      </x:c>
      <x:c r="H2" s="17" t="n">
        <x:v>40.4251</x:v>
      </x:c>
      <x:c r="I2" s="17" t="n">
        <x:v>-3.7071</x:v>
      </x:c>
      <x:c r="J2" s="8" t="str">
        <x:v>L-V 10:00-20:00 · S 10:00-14:00</x:v>
      </x:c>
      <x:c r="K2" s="8" t="str">
        <x:v>hola.malasana@renodo.example</x:v>
      </x:c>
      <x:c r="L2" s="8" t="str">
        <x:v>elena-ortega.0003@renodo.example</x:v>
      </x:c>
      <x:c r="M2" s="9" t="b">
        <x:v>1</x:v>
      </x:c>
      <x:c r="N2" s="10" t="n">
        <x:v>45536.375</x:v>
      </x:c>
    </x:row>
    <x:row r="3">
      <x:c r="A3" s="8" t="str">
        <x:v>HUB-MAD-002</x:v>
      </x:c>
      <x:c r="B3" s="8" t="str">
        <x:v>Nodo Lavapiés</x:v>
      </x:c>
      <x:c r="C3" s="8" t="str">
        <x:v>nodo-lavapies</x:v>
      </x:c>
      <x:c r="D3" s="8" t="str">
        <x:v>Centro</x:v>
      </x:c>
      <x:c r="E3" s="8" t="str">
        <x:v>Embajadores</x:v>
      </x:c>
      <x:c r="F3" s="8" t="str">
        <x:v>Pasaje Red Vecinal, 18</x:v>
      </x:c>
      <x:c r="G3" s="16" t="str">
        <x:v>28012</x:v>
      </x:c>
      <x:c r="H3" s="17" t="n">
        <x:v>40.4098</x:v>
      </x:c>
      <x:c r="I3" s="17" t="n">
        <x:v>-3.7009</x:v>
      </x:c>
      <x:c r="J3" s="8" t="str">
        <x:v>L-V 09:00-19:30 · S 10:00-14:00</x:v>
      </x:c>
      <x:c r="K3" s="8" t="str">
        <x:v>hola.lavapies@renodo.example</x:v>
      </x:c>
      <x:c r="L3" s="8" t="str">
        <x:v>nora-navarro.0004@renodo.example</x:v>
      </x:c>
      <x:c r="M3" s="9" t="b">
        <x:v>1</x:v>
      </x:c>
      <x:c r="N3" s="10" t="n">
        <x:v>45543.375</x:v>
      </x:c>
    </x:row>
    <x:row r="4">
      <x:c r="A4" s="8" t="str">
        <x:v>HUB-MAD-003</x:v>
      </x:c>
      <x:c r="B4" s="8" t="str">
        <x:v>Nodo Palos de Moguer</x:v>
      </x:c>
      <x:c r="C4" s="8" t="str">
        <x:v>nodo-palos-de-moguer</x:v>
      </x:c>
      <x:c r="D4" s="8" t="str">
        <x:v>Arganzuela</x:v>
      </x:c>
      <x:c r="E4" s="8" t="str">
        <x:v>Palos de Moguer</x:v>
      </x:c>
      <x:c r="F4" s="8" t="str">
        <x:v>Calle Taller Abierto, 7</x:v>
      </x:c>
      <x:c r="G4" s="16" t="str">
        <x:v>28045</x:v>
      </x:c>
      <x:c r="H4" s="17" t="n">
        <x:v>40.4035</x:v>
      </x:c>
      <x:c r="I4" s="17" t="n">
        <x:v>-3.6942</x:v>
      </x:c>
      <x:c r="J4" s="8" t="str">
        <x:v>L-V 09:00-19:30 · S 10:00-14:00</x:v>
      </x:c>
      <x:c r="K4" s="8" t="str">
        <x:v>hola.palos-de-moguer@renodo.example</x:v>
      </x:c>
      <x:c r="L4" s="8" t="str">
        <x:v>bruno-prieto.0005@renodo.example</x:v>
      </x:c>
      <x:c r="M4" s="9" t="b">
        <x:v>1</x:v>
      </x:c>
      <x:c r="N4" s="10" t="n">
        <x:v>45550.375</x:v>
      </x:c>
    </x:row>
    <x:row r="5">
      <x:c r="A5" s="8" t="str">
        <x:v>HUB-MAD-004</x:v>
      </x:c>
      <x:c r="B5" s="8" t="str">
        <x:v>Nodo Trafalgar</x:v>
      </x:c>
      <x:c r="C5" s="8" t="str">
        <x:v>nodo-trafalgar</x:v>
      </x:c>
      <x:c r="D5" s="8" t="str">
        <x:v>Chamberí</x:v>
      </x:c>
      <x:c r="E5" s="8" t="str">
        <x:v>Trafalgar</x:v>
      </x:c>
      <x:c r="F5" s="8" t="str">
        <x:v>Plaza del Intercambio, 4</x:v>
      </x:c>
      <x:c r="G5" s="16" t="str">
        <x:v>28010</x:v>
      </x:c>
      <x:c r="H5" s="17" t="n">
        <x:v>40.4322</x:v>
      </x:c>
      <x:c r="I5" s="17" t="n">
        <x:v>-3.7012</x:v>
      </x:c>
      <x:c r="J5" s="8" t="str">
        <x:v>L-V 10:00-20:00 · S 10:00-14:00</x:v>
      </x:c>
      <x:c r="K5" s="8" t="str">
        <x:v>hola.trafalgar@renodo.example</x:v>
      </x:c>
      <x:c r="L5" s="8" t="str">
        <x:v>leo-lopez.0006@renodo.example</x:v>
      </x:c>
      <x:c r="M5" s="9" t="b">
        <x:v>1</x:v>
      </x:c>
      <x:c r="N5" s="10" t="n">
        <x:v>45557.375</x:v>
      </x:c>
    </x:row>
    <x:row r="6">
      <x:c r="A6" s="8" t="str">
        <x:v>HUB-MAD-005</x:v>
      </x:c>
      <x:c r="B6" s="8" t="str">
        <x:v>Nodo Bellas Vistas</x:v>
      </x:c>
      <x:c r="C6" s="8" t="str">
        <x:v>nodo-bellas-vistas</x:v>
      </x:c>
      <x:c r="D6" s="8" t="str">
        <x:v>Tetuán</x:v>
      </x:c>
      <x:c r="E6" s="8" t="str">
        <x:v>Bellas Vistas</x:v>
      </x:c>
      <x:c r="F6" s="8" t="str">
        <x:v>Calle Enlace, 23</x:v>
      </x:c>
      <x:c r="G6" s="16" t="str">
        <x:v>28039</x:v>
      </x:c>
      <x:c r="H6" s="17" t="n">
        <x:v>40.4532</x:v>
      </x:c>
      <x:c r="I6" s="17" t="n">
        <x:v>-3.7048</x:v>
      </x:c>
      <x:c r="J6" s="8" t="str">
        <x:v>L-V 09:00-19:30 · S 10:00-14:00</x:v>
      </x:c>
      <x:c r="K6" s="8" t="str">
        <x:v>hola.bellas-vistas@renodo.example</x:v>
      </x:c>
      <x:c r="L6" s="8" t="str">
        <x:v>laia-ortega.0007@renodo.example</x:v>
      </x:c>
      <x:c r="M6" s="9" t="b">
        <x:v>1</x:v>
      </x:c>
      <x:c r="N6" s="10" t="n">
        <x:v>45564.375</x:v>
      </x:c>
    </x:row>
    <x:row r="7">
      <x:c r="A7" s="8" t="str">
        <x:v>HUB-MAD-006</x:v>
      </x:c>
      <x:c r="B7" s="8" t="str">
        <x:v>Nodo Opañel</x:v>
      </x:c>
      <x:c r="C7" s="8" t="str">
        <x:v>nodo-opanel</x:v>
      </x:c>
      <x:c r="D7" s="8" t="str">
        <x:v>Carabanchel</x:v>
      </x:c>
      <x:c r="E7" s="8" t="str">
        <x:v>Opañel</x:v>
      </x:c>
      <x:c r="F7" s="8" t="str">
        <x:v>Avenida de la Vuelta, 31</x:v>
      </x:c>
      <x:c r="G7" s="16" t="str">
        <x:v>28019</x:v>
      </x:c>
      <x:c r="H7" s="17" t="n">
        <x:v>40.3869</x:v>
      </x:c>
      <x:c r="I7" s="17" t="n">
        <x:v>-3.7248</x:v>
      </x:c>
      <x:c r="J7" s="8" t="str">
        <x:v>L-V 09:00-19:30 · S 10:00-14:00</x:v>
      </x:c>
      <x:c r="K7" s="8" t="str">
        <x:v>hola.opanel@renodo.example</x:v>
      </x:c>
      <x:c r="L7" s="8" t="str">
        <x:v>irene-molina.0008@renodo.example</x:v>
      </x:c>
      <x:c r="M7" s="9" t="b">
        <x:v>1</x:v>
      </x:c>
      <x:c r="N7" s="10" t="n">
        <x:v>45571.375</x:v>
      </x:c>
    </x:row>
    <x:row r="8">
      <x:c r="A8" s="8" t="str">
        <x:v>HUB-MAD-007</x:v>
      </x:c>
      <x:c r="B8" s="8" t="str">
        <x:v>Nodo Almendrales</x:v>
      </x:c>
      <x:c r="C8" s="8" t="str">
        <x:v>nodo-almendrales</x:v>
      </x:c>
      <x:c r="D8" s="8" t="str">
        <x:v>Usera</x:v>
      </x:c>
      <x:c r="E8" s="8" t="str">
        <x:v>Almendrales</x:v>
      </x:c>
      <x:c r="F8" s="8" t="str">
        <x:v>Calle Segunda Vida, 16</x:v>
      </x:c>
      <x:c r="G8" s="16" t="str">
        <x:v>28026</x:v>
      </x:c>
      <x:c r="H8" s="17" t="n">
        <x:v>40.3841</x:v>
      </x:c>
      <x:c r="I8" s="17" t="n">
        <x:v>-3.6987</x:v>
      </x:c>
      <x:c r="J8" s="8" t="str">
        <x:v>L-V 10:00-20:00 · S 10:00-14:00</x:v>
      </x:c>
      <x:c r="K8" s="8" t="str">
        <x:v>hola.almendrales@renodo.example</x:v>
      </x:c>
      <x:c r="L8" s="8" t="str">
        <x:v>ines-romero.0009@renodo.example</x:v>
      </x:c>
      <x:c r="M8" s="9" t="b">
        <x:v>1</x:v>
      </x:c>
      <x:c r="N8" s="10" t="n">
        <x:v>45578.375</x:v>
      </x:c>
    </x:row>
    <x:row r="9">
      <x:c r="A9" s="8" t="str">
        <x:v>HUB-MAD-008</x:v>
      </x:c>
      <x:c r="B9" s="8" t="str">
        <x:v>Nodo Numancia</x:v>
      </x:c>
      <x:c r="C9" s="8" t="str">
        <x:v>nodo-numancia</x:v>
      </x:c>
      <x:c r="D9" s="8" t="str">
        <x:v>Puente de Vallecas</x:v>
      </x:c>
      <x:c r="E9" s="8" t="str">
        <x:v>Numancia</x:v>
      </x:c>
      <x:c r="F9" s="8" t="str">
        <x:v>Calle Mano a Mano, 9</x:v>
      </x:c>
      <x:c r="G9" s="16" t="str">
        <x:v>28038</x:v>
      </x:c>
      <x:c r="H9" s="17" t="n">
        <x:v>40.4018</x:v>
      </x:c>
      <x:c r="I9" s="17" t="n">
        <x:v>-3.6554</x:v>
      </x:c>
      <x:c r="J9" s="8" t="str">
        <x:v>L-V 09:00-19:30 · S 10:00-14:00</x:v>
      </x:c>
      <x:c r="K9" s="8" t="str">
        <x:v>hola.numancia@renodo.example</x:v>
      </x:c>
      <x:c r="L9" s="8" t="str">
        <x:v>alvaro-vidal.0010@renodo.example</x:v>
      </x:c>
      <x:c r="M9" s="9" t="b">
        <x:v>1</x:v>
      </x:c>
      <x:c r="N9" s="10" t="n">
        <x:v>45585.375</x:v>
      </x:c>
    </x:row>
    <x:row r="10">
      <x:c r="A10" s="8" t="str">
        <x:v>HUB-MAD-009</x:v>
      </x:c>
      <x:c r="B10" s="8" t="str">
        <x:v>Nodo Pacífico</x:v>
      </x:c>
      <x:c r="C10" s="8" t="str">
        <x:v>nodo-pacifico</x:v>
      </x:c>
      <x:c r="D10" s="8" t="str">
        <x:v>Retiro</x:v>
      </x:c>
      <x:c r="E10" s="8" t="str">
        <x:v>Pacífico</x:v>
      </x:c>
      <x:c r="F10" s="8" t="str">
        <x:v>Calle Estación Circular, 5</x:v>
      </x:c>
      <x:c r="G10" s="16" t="str">
        <x:v>28007</x:v>
      </x:c>
      <x:c r="H10" s="17" t="n">
        <x:v>40.4048</x:v>
      </x:c>
      <x:c r="I10" s="17" t="n">
        <x:v>-3.6754</x:v>
      </x:c>
      <x:c r="J10" s="8" t="str">
        <x:v>L-V 09:00-19:30 · S 10:00-14:00</x:v>
      </x:c>
      <x:c r="K10" s="8" t="str">
        <x:v>hola.pacifico@renodo.example</x:v>
      </x:c>
      <x:c r="L10" s="8" t="str">
        <x:v>leo-navarro.0011@renodo.example</x:v>
      </x:c>
      <x:c r="M10" s="9" t="b">
        <x:v>1</x:v>
      </x:c>
      <x:c r="N10" s="10" t="n">
        <x:v>45592.375</x:v>
      </x:c>
    </x:row>
    <x:row r="11">
      <x:c r="A11" s="8" t="str">
        <x:v>HUB-MAD-010</x:v>
      </x:c>
      <x:c r="B11" s="8" t="str">
        <x:v>Nodo Canillas</x:v>
      </x:c>
      <x:c r="C11" s="8" t="str">
        <x:v>nodo-canillas</x:v>
      </x:c>
      <x:c r="D11" s="8" t="str">
        <x:v>Hortaleza</x:v>
      </x:c>
      <x:c r="E11" s="8" t="str">
        <x:v>Canillas</x:v>
      </x:c>
      <x:c r="F11" s="8" t="str">
        <x:v>Calle Caja Común, 21</x:v>
      </x:c>
      <x:c r="G11" s="16" t="str">
        <x:v>28043</x:v>
      </x:c>
      <x:c r="H11" s="17" t="n">
        <x:v>40.4632</x:v>
      </x:c>
      <x:c r="I11" s="17" t="n">
        <x:v>-3.6348</x:v>
      </x:c>
      <x:c r="J11" s="8" t="str">
        <x:v>L-V 10:00-20:00 · S 10:00-14:00</x:v>
      </x:c>
      <x:c r="K11" s="8" t="str">
        <x:v>hola.canillas@renodo.example</x:v>
      </x:c>
      <x:c r="L11" s="8" t="str">
        <x:v>alvaro-campos.0012@renodo.example</x:v>
      </x:c>
      <x:c r="M11" s="9" t="b">
        <x:v>1</x:v>
      </x:c>
      <x:c r="N11" s="10" t="n">
        <x:v>45599.375</x:v>
      </x:c>
    </x:row>
    <x:row r="12">
      <x:c r="A12" s="8" t="str">
        <x:v>HUB-MAD-011</x:v>
      </x:c>
      <x:c r="B12" s="8" t="str">
        <x:v>Nodo Puerta del Ángel</x:v>
      </x:c>
      <x:c r="C12" s="8" t="str">
        <x:v>nodo-puerta-del-angel</x:v>
      </x:c>
      <x:c r="D12" s="8" t="str">
        <x:v>Latina</x:v>
      </x:c>
      <x:c r="E12" s="8" t="str">
        <x:v>Puerta del Ángel</x:v>
      </x:c>
      <x:c r="F12" s="8" t="str">
        <x:v>Paseo del Reuso, 14</x:v>
      </x:c>
      <x:c r="G12" s="16" t="str">
        <x:v>28011</x:v>
      </x:c>
      <x:c r="H12" s="17" t="n">
        <x:v>40.4135</x:v>
      </x:c>
      <x:c r="I12" s="17" t="n">
        <x:v>-3.7294</x:v>
      </x:c>
      <x:c r="J12" s="8" t="str">
        <x:v>L-V 09:00-19:30 · S 10:00-14:00</x:v>
      </x:c>
      <x:c r="K12" s="8" t="str">
        <x:v>hola.puerta-del-angel@renodo.example</x:v>
      </x:c>
      <x:c r="L12" s="8" t="str">
        <x:v>carmen-navarro.0013@renodo.example</x:v>
      </x:c>
      <x:c r="M12" s="9" t="b">
        <x:v>1</x:v>
      </x:c>
      <x:c r="N12" s="10" t="n">
        <x:v>45606.375</x:v>
      </x:c>
    </x:row>
    <x:row r="13">
      <x:c r="A13" s="11" t="str">
        <x:v>HUB-MAD-012</x:v>
      </x:c>
      <x:c r="B13" s="11" t="str">
        <x:v>Nodo Argüelles</x:v>
      </x:c>
      <x:c r="C13" s="11" t="str">
        <x:v>nodo-arguelles</x:v>
      </x:c>
      <x:c r="D13" s="11" t="str">
        <x:v>Moncloa-Aravaca</x:v>
      </x:c>
      <x:c r="E13" s="11" t="str">
        <x:v>Argüelles</x:v>
      </x:c>
      <x:c r="F13" s="11" t="str">
        <x:v>Calle Red Abierta, 6</x:v>
      </x:c>
      <x:c r="G13" s="18" t="str">
        <x:v>28008</x:v>
      </x:c>
      <x:c r="H13" s="19" t="n">
        <x:v>40.4296</x:v>
      </x:c>
      <x:c r="I13" s="19" t="n">
        <x:v>-3.7141</x:v>
      </x:c>
      <x:c r="J13" s="11" t="str">
        <x:v>L-V 09:00-19:30 · S 10:00-14:00</x:v>
      </x:c>
      <x:c r="K13" s="11" t="str">
        <x:v>hola.arguelles@renodo.example</x:v>
      </x:c>
      <x:c r="L13" s="11" t="str">
        <x:v>mario-molina.0014@renodo.example</x:v>
      </x:c>
      <x:c r="M13" s="12" t="b">
        <x:v>1</x:v>
      </x:c>
      <x:c r="N13" s="13" t="n">
        <x:v>45613.375</x:v>
      </x:c>
    </x:row>
  </x:sheetData>
  <x:pageMargins left="0.7" right="0.7" top="0.75" bottom="0.75" header="0.3" footer="0.3"/>
  <x:tableParts count="1">
    <x:tablePart xmlns:r="http://schemas.openxmlformats.org/officeDocument/2006/relationships" r:id="R542355e03aa646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33" hidden="0" customWidth="1"/>
    <x:col min="5" max="5" width="13" hidden="0" customWidth="1"/>
    <x:col min="6" max="6" width="48" hidden="0" customWidth="1"/>
    <x:col min="7" max="7" width="12" hidden="0" customWidth="1"/>
    <x:col min="8" max="8" width="14" hidden="0" customWidth="1"/>
    <x:col min="9" max="9" width="13" hidden="0" customWidth="1"/>
    <x:col min="10" max="10" width="14" hidden="0" customWidth="1"/>
    <x:col min="11" max="11" width="17" hidden="0" customWidth="1"/>
    <x:col min="12" max="12" width="16" hidden="0" customWidth="1"/>
    <x:col min="13" max="13" width="27" hidden="0" customWidth="1"/>
    <x:col min="14" max="14" width="14" hidden="0" customWidth="1"/>
    <x:col min="15" max="15" width="15" hidden="0" customWidth="1"/>
  </x:cols>
  <x:sheetData>
    <x:row r="1" ht="32" customHeight="1">
      <x:c r="A1" s="7" t="str">
        <x:v>external_code</x:v>
      </x:c>
      <x:c r="B1" s="7" t="str">
        <x:v>hub_code</x:v>
      </x:c>
      <x:c r="C1" s="7" t="str">
        <x:v>name</x:v>
      </x:c>
      <x:c r="D1" s="7" t="str">
        <x:v>slug</x:v>
      </x:c>
      <x:c r="E1" s="7" t="str">
        <x:v>category</x:v>
      </x:c>
      <x:c r="F1" s="7" t="str">
        <x:v>description</x:v>
      </x:c>
      <x:c r="G1" s="7" t="str">
        <x:v>condition</x:v>
      </x:c>
      <x:c r="H1" s="7" t="str">
        <x:v>status</x:v>
      </x:c>
      <x:c r="I1" s="7" t="str">
        <x:v>deposit_eur</x:v>
      </x:c>
      <x:c r="J1" s="7" t="str">
        <x:v>max_loan_days</x:v>
      </x:c>
      <x:c r="K1" s="7" t="str">
        <x:v>replacement_cost_eur</x:v>
      </x:c>
      <x:c r="L1" s="7" t="str">
        <x:v>estimated_waste_kg</x:v>
      </x:c>
      <x:c r="M1" s="7" t="str">
        <x:v>tags</x:v>
      </x:c>
      <x:c r="N1" s="7" t="str">
        <x:v>acquired_at</x:v>
      </x:c>
      <x:c r="O1" s="7" t="str">
        <x:v>hub_relation_ok</x:v>
      </x:c>
    </x:row>
    <x:row r="2">
      <x:c r="A2" s="8" t="str">
        <x:v>ITM-000001</x:v>
      </x:c>
      <x:c r="B2" s="8" t="str">
        <x:v>HUB-MAD-001</x:v>
      </x:c>
      <x:c r="C2" s="8" t="str">
        <x:v>Taladro percutor 18V</x:v>
      </x:c>
      <x:c r="D2" s="8" t="str">
        <x:v>taladro-percutor-18v-itm-000001</x:v>
      </x:c>
      <x:c r="E2" s="8" t="str">
        <x:v>tools</x:v>
      </x:c>
      <x:c r="F2" s="8" t="str">
        <x:v>Taladro percutor 18V revisado por el equipo de Nodo Malasaña, con accesorios básicos y guía de uso incluida.</x:v>
      </x:c>
      <x:c r="G2" s="8" t="str">
        <x:v>excellent</x:v>
      </x:c>
      <x:c r="H2" s="8" t="str">
        <x:v>retired</x:v>
      </x:c>
      <x:c r="I2" s="23" t="n">
        <x:v>0</x:v>
      </x:c>
      <x:c r="J2" s="8" t="n">
        <x:v>3</x:v>
      </x:c>
      <x:c r="K2" s="23" t="n">
        <x:v>35</x:v>
      </x:c>
      <x:c r="L2" s="24" t="n">
        <x:v>1.2</x:v>
      </x:c>
      <x:c r="M2" s="8" t="str">
        <x:v>tools|centro|excellent</x:v>
      </x:c>
      <x:c r="N2" s="25" t="str">
        <x:v>2024-10-01</x:v>
      </x:c>
      <x:c r="O2" s="8" t="str">
        <x:f>IF(COUNTIF('Centros'!$A$2:$A$13,B2)=1,"OK","ERROR")</x:f>
        <x:v>OK</x:v>
      </x:c>
    </x:row>
    <x:row r="3">
      <x:c r="A3" s="8" t="str">
        <x:v>ITM-000002</x:v>
      </x:c>
      <x:c r="B3" s="8" t="str">
        <x:v>HUB-MAD-002</x:v>
      </x:c>
      <x:c r="C3" s="8" t="str">
        <x:v>Vajilla para 24 personas</x:v>
      </x:c>
      <x:c r="D3" s="8" t="str">
        <x:v>vajilla-para-24-personas-itm-000002</x:v>
      </x:c>
      <x:c r="E3" s="8" t="str">
        <x:v>kitchen</x:v>
      </x:c>
      <x:c r="F3" s="8" t="str">
        <x:v>Vajilla para 24 personas revisado por el equipo de Nodo Lavapiés, con accesorios básicos y guía de uso incluida.</x:v>
      </x:c>
      <x:c r="G3" s="8" t="str">
        <x:v>good</x:v>
      </x:c>
      <x:c r="H3" s="8" t="str">
        <x:v>available</x:v>
      </x:c>
      <x:c r="I3" s="23" t="n">
        <x:v>10</x:v>
      </x:c>
      <x:c r="J3" s="8" t="n">
        <x:v>4</x:v>
      </x:c>
      <x:c r="K3" s="23" t="n">
        <x:v>52</x:v>
      </x:c>
      <x:c r="L3" s="24" t="n">
        <x:v>2.5</x:v>
      </x:c>
      <x:c r="M3" s="8" t="str">
        <x:v>kitchen|centro|good</x:v>
      </x:c>
      <x:c r="N3" s="25" t="str">
        <x:v>2024-10-04</x:v>
      </x:c>
      <x:c r="O3" s="8" t="str">
        <x:f>IF(COUNTIF('Centros'!$A$2:$A$13,B3)=1,"OK","ERROR")</x:f>
        <x:v>OK</x:v>
      </x:c>
    </x:row>
    <x:row r="4">
      <x:c r="A4" s="8" t="str">
        <x:v>ITM-000003</x:v>
      </x:c>
      <x:c r="B4" s="8" t="str">
        <x:v>HUB-MAD-003</x:v>
      </x:c>
      <x:c r="C4" s="8" t="str">
        <x:v>Tienda de campaña 3P</x:v>
      </x:c>
      <x:c r="D4" s="8" t="str">
        <x:v>tienda-de-campana-3p-itm-000003</x:v>
      </x:c>
      <x:c r="E4" s="8" t="str">
        <x:v>outdoor</x:v>
      </x:c>
      <x:c r="F4" s="8" t="str">
        <x:v>Tienda de campaña 3P revisado por el equipo de Nodo Palos de Moguer, con accesorios básicos y guía de uso incluida.</x:v>
      </x:c>
      <x:c r="G4" s="8" t="str">
        <x:v>good</x:v>
      </x:c>
      <x:c r="H4" s="8" t="str">
        <x:v>available</x:v>
      </x:c>
      <x:c r="I4" s="23" t="n">
        <x:v>20</x:v>
      </x:c>
      <x:c r="J4" s="8" t="n">
        <x:v>5</x:v>
      </x:c>
      <x:c r="K4" s="23" t="n">
        <x:v>69</x:v>
      </x:c>
      <x:c r="L4" s="24" t="n">
        <x:v>3.8</x:v>
      </x:c>
      <x:c r="M4" s="8" t="str">
        <x:v>outdoor|arganzuela|good</x:v>
      </x:c>
      <x:c r="N4" s="25" t="str">
        <x:v>2024-10-07</x:v>
      </x:c>
      <x:c r="O4" s="8" t="str">
        <x:f>IF(COUNTIF('Centros'!$A$2:$A$13,B4)=1,"OK","ERROR")</x:f>
        <x:v>OK</x:v>
      </x:c>
    </x:row>
    <x:row r="5">
      <x:c r="A5" s="8" t="str">
        <x:v>ITM-000004</x:v>
      </x:c>
      <x:c r="B5" s="8" t="str">
        <x:v>HUB-MAD-004</x:v>
      </x:c>
      <x:c r="C5" s="8" t="str">
        <x:v>Bicicleta urbana</x:v>
      </x:c>
      <x:c r="D5" s="8" t="str">
        <x:v>bicicleta-urbana-itm-000004</x:v>
      </x:c>
      <x:c r="E5" s="8" t="str">
        <x:v>mobility</x:v>
      </x:c>
      <x:c r="F5" s="8" t="str">
        <x:v>Bicicleta urbana revisado por el equipo de Nodo Trafalgar, con accesorios básicos y guía de uso incluida.</x:v>
      </x:c>
      <x:c r="G5" s="8" t="str">
        <x:v>fair</x:v>
      </x:c>
      <x:c r="H5" s="8" t="str">
        <x:v>available</x:v>
      </x:c>
      <x:c r="I5" s="23" t="n">
        <x:v>30</x:v>
      </x:c>
      <x:c r="J5" s="8" t="n">
        <x:v>6</x:v>
      </x:c>
      <x:c r="K5" s="23" t="n">
        <x:v>86</x:v>
      </x:c>
      <x:c r="L5" s="24" t="n">
        <x:v>5.1</x:v>
      </x:c>
      <x:c r="M5" s="8" t="str">
        <x:v>mobility|chamberí|fair</x:v>
      </x:c>
      <x:c r="N5" s="25" t="str">
        <x:v>2024-10-10</x:v>
      </x:c>
      <x:c r="O5" s="8" t="str">
        <x:f>IF(COUNTIF('Centros'!$A$2:$A$13,B5)=1,"OK","ERROR")</x:f>
        <x:v>OK</x:v>
      </x:c>
    </x:row>
    <x:row r="6">
      <x:c r="A6" s="8" t="str">
        <x:v>ITM-000005</x:v>
      </x:c>
      <x:c r="B6" s="8" t="str">
        <x:v>HUB-MAD-005</x:v>
      </x:c>
      <x:c r="C6" s="8" t="str">
        <x:v>Proyector portátil</x:v>
      </x:c>
      <x:c r="D6" s="8" t="str">
        <x:v>proyector-portatil-itm-000005</x:v>
      </x:c>
      <x:c r="E6" s="8" t="str">
        <x:v>events</x:v>
      </x:c>
      <x:c r="F6" s="8" t="str">
        <x:v>Proyector portátil revisado por el equipo de Nodo Bellas Vistas, con accesorios básicos y guía de uso incluida.</x:v>
      </x:c>
      <x:c r="G6" s="8" t="str">
        <x:v>excellent</x:v>
      </x:c>
      <x:c r="H6" s="8" t="str">
        <x:v>available</x:v>
      </x:c>
      <x:c r="I6" s="23" t="n">
        <x:v>0</x:v>
      </x:c>
      <x:c r="J6" s="8" t="n">
        <x:v>7</x:v>
      </x:c>
      <x:c r="K6" s="23" t="n">
        <x:v>103</x:v>
      </x:c>
      <x:c r="L6" s="24" t="n">
        <x:v>6.4</x:v>
      </x:c>
      <x:c r="M6" s="8" t="str">
        <x:v>events|tetuán|excellent</x:v>
      </x:c>
      <x:c r="N6" s="25" t="str">
        <x:v>2024-10-13</x:v>
      </x:c>
      <x:c r="O6" s="8" t="str">
        <x:f>IF(COUNTIF('Centros'!$A$2:$A$13,B6)=1,"OK","ERROR")</x:f>
        <x:v>OK</x:v>
      </x:c>
    </x:row>
    <x:row r="7">
      <x:c r="A7" s="8" t="str">
        <x:v>ITM-000006</x:v>
      </x:c>
      <x:c r="B7" s="8" t="str">
        <x:v>HUB-MAD-006</x:v>
      </x:c>
      <x:c r="C7" s="8" t="str">
        <x:v>Escáner documental</x:v>
      </x:c>
      <x:c r="D7" s="8" t="str">
        <x:v>escaner-documental-itm-000006</x:v>
      </x:c>
      <x:c r="E7" s="8" t="str">
        <x:v>technology</x:v>
      </x:c>
      <x:c r="F7" s="8" t="str">
        <x:v>Escáner documental revisado por el equipo de Nodo Opañel, con accesorios básicos y guía de uso incluida.</x:v>
      </x:c>
      <x:c r="G7" s="8" t="str">
        <x:v>good</x:v>
      </x:c>
      <x:c r="H7" s="8" t="str">
        <x:v>available</x:v>
      </x:c>
      <x:c r="I7" s="23" t="n">
        <x:v>10</x:v>
      </x:c>
      <x:c r="J7" s="8" t="n">
        <x:v>3</x:v>
      </x:c>
      <x:c r="K7" s="23" t="n">
        <x:v>120</x:v>
      </x:c>
      <x:c r="L7" s="24" t="n">
        <x:v>7.7</x:v>
      </x:c>
      <x:c r="M7" s="8" t="str">
        <x:v>technology|carabanchel|good</x:v>
      </x:c>
      <x:c r="N7" s="25" t="str">
        <x:v>2024-10-16</x:v>
      </x:c>
      <x:c r="O7" s="8" t="str">
        <x:f>IF(COUNTIF('Centros'!$A$2:$A$13,B7)=1,"OK","ERROR")</x:f>
        <x:v>OK</x:v>
      </x:c>
    </x:row>
    <x:row r="8">
      <x:c r="A8" s="8" t="str">
        <x:v>ITM-000007</x:v>
      </x:c>
      <x:c r="B8" s="8" t="str">
        <x:v>HUB-MAD-007</x:v>
      </x:c>
      <x:c r="C8" s="8" t="str">
        <x:v>Lijadora orbital</x:v>
      </x:c>
      <x:c r="D8" s="8" t="str">
        <x:v>lijadora-orbital-itm-000007</x:v>
      </x:c>
      <x:c r="E8" s="8" t="str">
        <x:v>tools</x:v>
      </x:c>
      <x:c r="F8" s="8" t="str">
        <x:v>Lijadora orbital revisado por el equipo de Nodo Almendrales, con accesorios básicos y guía de uso incluida.</x:v>
      </x:c>
      <x:c r="G8" s="8" t="str">
        <x:v>good</x:v>
      </x:c>
      <x:c r="H8" s="8" t="str">
        <x:v>available</x:v>
      </x:c>
      <x:c r="I8" s="23" t="n">
        <x:v>20</x:v>
      </x:c>
      <x:c r="J8" s="8" t="n">
        <x:v>4</x:v>
      </x:c>
      <x:c r="K8" s="23" t="n">
        <x:v>137</x:v>
      </x:c>
      <x:c r="L8" s="24" t="n">
        <x:v>9</x:v>
      </x:c>
      <x:c r="M8" s="8" t="str">
        <x:v>tools|usera|good</x:v>
      </x:c>
      <x:c r="N8" s="25" t="str">
        <x:v>2024-10-19</x:v>
      </x:c>
      <x:c r="O8" s="8" t="str">
        <x:f>IF(COUNTIF('Centros'!$A$2:$A$13,B8)=1,"OK","ERROR")</x:f>
        <x:v>OK</x:v>
      </x:c>
    </x:row>
    <x:row r="9">
      <x:c r="A9" s="8" t="str">
        <x:v>ITM-000008</x:v>
      </x:c>
      <x:c r="B9" s="8" t="str">
        <x:v>HUB-MAD-008</x:v>
      </x:c>
      <x:c r="C9" s="8" t="str">
        <x:v>Robot de cocina</x:v>
      </x:c>
      <x:c r="D9" s="8" t="str">
        <x:v>robot-de-cocina-itm-000008</x:v>
      </x:c>
      <x:c r="E9" s="8" t="str">
        <x:v>kitchen</x:v>
      </x:c>
      <x:c r="F9" s="8" t="str">
        <x:v>Robot de cocina revisado por el equipo de Nodo Numancia, con accesorios básicos y guía de uso incluida.</x:v>
      </x:c>
      <x:c r="G9" s="8" t="str">
        <x:v>fair</x:v>
      </x:c>
      <x:c r="H9" s="8" t="str">
        <x:v>available</x:v>
      </x:c>
      <x:c r="I9" s="23" t="n">
        <x:v>30</x:v>
      </x:c>
      <x:c r="J9" s="8" t="n">
        <x:v>5</x:v>
      </x:c>
      <x:c r="K9" s="23" t="n">
        <x:v>154</x:v>
      </x:c>
      <x:c r="L9" s="24" t="n">
        <x:v>1.8</x:v>
      </x:c>
      <x:c r="M9" s="8" t="str">
        <x:v>kitchen|puente de vallecas|fair</x:v>
      </x:c>
      <x:c r="N9" s="25" t="str">
        <x:v>2024-10-22</x:v>
      </x:c>
      <x:c r="O9" s="8" t="str">
        <x:f>IF(COUNTIF('Centros'!$A$2:$A$13,B9)=1,"OK","ERROR")</x:f>
        <x:v>OK</x:v>
      </x:c>
    </x:row>
    <x:row r="10">
      <x:c r="A10" s="8" t="str">
        <x:v>ITM-000009</x:v>
      </x:c>
      <x:c r="B10" s="8" t="str">
        <x:v>HUB-MAD-009</x:v>
      </x:c>
      <x:c r="C10" s="8" t="str">
        <x:v>Mochila de trekking 50L</x:v>
      </x:c>
      <x:c r="D10" s="8" t="str">
        <x:v>mochila-de-trekking-50l-itm-000009</x:v>
      </x:c>
      <x:c r="E10" s="8" t="str">
        <x:v>outdoor</x:v>
      </x:c>
      <x:c r="F10" s="8" t="str">
        <x:v>Mochila de trekking 50L revisado por el equipo de Nodo Pacífico, con accesorios básicos y guía de uso incluida.</x:v>
      </x:c>
      <x:c r="G10" s="8" t="str">
        <x:v>excellent</x:v>
      </x:c>
      <x:c r="H10" s="8" t="str">
        <x:v>available</x:v>
      </x:c>
      <x:c r="I10" s="23" t="n">
        <x:v>0</x:v>
      </x:c>
      <x:c r="J10" s="8" t="n">
        <x:v>6</x:v>
      </x:c>
      <x:c r="K10" s="23" t="n">
        <x:v>171</x:v>
      </x:c>
      <x:c r="L10" s="24" t="n">
        <x:v>3.1</x:v>
      </x:c>
      <x:c r="M10" s="8" t="str">
        <x:v>outdoor|retiro|excellent</x:v>
      </x:c>
      <x:c r="N10" s="25" t="str">
        <x:v>2024-10-25</x:v>
      </x:c>
      <x:c r="O10" s="8" t="str">
        <x:f>IF(COUNTIF('Centros'!$A$2:$A$13,B10)=1,"OK","ERROR")</x:f>
        <x:v>OK</x:v>
      </x:c>
    </x:row>
    <x:row r="11">
      <x:c r="A11" s="8" t="str">
        <x:v>ITM-000010</x:v>
      </x:c>
      <x:c r="B11" s="8" t="str">
        <x:v>HUB-MAD-010</x:v>
      </x:c>
      <x:c r="C11" s="8" t="str">
        <x:v>Carrito de carga plegable</x:v>
      </x:c>
      <x:c r="D11" s="8" t="str">
        <x:v>carrito-de-carga-plegable-itm-000010</x:v>
      </x:c>
      <x:c r="E11" s="8" t="str">
        <x:v>mobility</x:v>
      </x:c>
      <x:c r="F11" s="8" t="str">
        <x:v>Carrito de carga plegable revisado por el equipo de Nodo Canillas, con accesorios básicos y guía de uso incluida.</x:v>
      </x:c>
      <x:c r="G11" s="8" t="str">
        <x:v>good</x:v>
      </x:c>
      <x:c r="H11" s="8" t="str">
        <x:v>available</x:v>
      </x:c>
      <x:c r="I11" s="23" t="n">
        <x:v>10</x:v>
      </x:c>
      <x:c r="J11" s="8" t="n">
        <x:v>7</x:v>
      </x:c>
      <x:c r="K11" s="23" t="n">
        <x:v>188</x:v>
      </x:c>
      <x:c r="L11" s="24" t="n">
        <x:v>4.4</x:v>
      </x:c>
      <x:c r="M11" s="8" t="str">
        <x:v>mobility|hortaleza|good</x:v>
      </x:c>
      <x:c r="N11" s="25" t="str">
        <x:v>2024-10-28</x:v>
      </x:c>
      <x:c r="O11" s="8" t="str">
        <x:f>IF(COUNTIF('Centros'!$A$2:$A$13,B11)=1,"OK","ERROR")</x:f>
        <x:v>OK</x:v>
      </x:c>
    </x:row>
    <x:row r="12">
      <x:c r="A12" s="8" t="str">
        <x:v>ITM-000011</x:v>
      </x:c>
      <x:c r="B12" s="8" t="str">
        <x:v>HUB-MAD-011</x:v>
      </x:c>
      <x:c r="C12" s="8" t="str">
        <x:v>Altavoz autoamplificado</x:v>
      </x:c>
      <x:c r="D12" s="8" t="str">
        <x:v>altavoz-autoamplificado-itm-000011</x:v>
      </x:c>
      <x:c r="E12" s="8" t="str">
        <x:v>events</x:v>
      </x:c>
      <x:c r="F12" s="8" t="str">
        <x:v>Altavoz autoamplificado revisado por el equipo de Nodo Puerta del Ángel, con accesorios básicos y guía de uso incluida.</x:v>
      </x:c>
      <x:c r="G12" s="8" t="str">
        <x:v>good</x:v>
      </x:c>
      <x:c r="H12" s="8" t="str">
        <x:v>available</x:v>
      </x:c>
      <x:c r="I12" s="23" t="n">
        <x:v>20</x:v>
      </x:c>
      <x:c r="J12" s="8" t="n">
        <x:v>3</x:v>
      </x:c>
      <x:c r="K12" s="23" t="n">
        <x:v>205</x:v>
      </x:c>
      <x:c r="L12" s="24" t="n">
        <x:v>5.7</x:v>
      </x:c>
      <x:c r="M12" s="8" t="str">
        <x:v>events|latina|good</x:v>
      </x:c>
      <x:c r="N12" s="25" t="str">
        <x:v>2024-10-31</x:v>
      </x:c>
      <x:c r="O12" s="8" t="str">
        <x:f>IF(COUNTIF('Centros'!$A$2:$A$13,B12)=1,"OK","ERROR")</x:f>
        <x:v>OK</x:v>
      </x:c>
    </x:row>
    <x:row r="13">
      <x:c r="A13" s="8" t="str">
        <x:v>ITM-000012</x:v>
      </x:c>
      <x:c r="B13" s="8" t="str">
        <x:v>HUB-MAD-012</x:v>
      </x:c>
      <x:c r="C13" s="8" t="str">
        <x:v>Kit de podcast</x:v>
      </x:c>
      <x:c r="D13" s="8" t="str">
        <x:v>kit-de-podcast-itm-000012</x:v>
      </x:c>
      <x:c r="E13" s="8" t="str">
        <x:v>technology</x:v>
      </x:c>
      <x:c r="F13" s="8" t="str">
        <x:v>Kit de podcast revisado por el equipo de Nodo Argüelles, con accesorios básicos y guía de uso incluida.</x:v>
      </x:c>
      <x:c r="G13" s="8" t="str">
        <x:v>fair</x:v>
      </x:c>
      <x:c r="H13" s="8" t="str">
        <x:v>available</x:v>
      </x:c>
      <x:c r="I13" s="23" t="n">
        <x:v>30</x:v>
      </x:c>
      <x:c r="J13" s="8" t="n">
        <x:v>4</x:v>
      </x:c>
      <x:c r="K13" s="23" t="n">
        <x:v>222</x:v>
      </x:c>
      <x:c r="L13" s="24" t="n">
        <x:v>7</x:v>
      </x:c>
      <x:c r="M13" s="8" t="str">
        <x:v>technology|moncloa-aravaca|fair</x:v>
      </x:c>
      <x:c r="N13" s="25" t="str">
        <x:v>2024-11-03</x:v>
      </x:c>
      <x:c r="O13" s="8" t="str">
        <x:f>IF(COUNTIF('Centros'!$A$2:$A$13,B13)=1,"OK","ERROR")</x:f>
        <x:v>OK</x:v>
      </x:c>
    </x:row>
    <x:row r="14">
      <x:c r="A14" s="8" t="str">
        <x:v>ITM-000013</x:v>
      </x:c>
      <x:c r="B14" s="8" t="str">
        <x:v>HUB-MAD-001</x:v>
      </x:c>
      <x:c r="C14" s="8" t="str">
        <x:v>Caja de herramientas</x:v>
      </x:c>
      <x:c r="D14" s="8" t="str">
        <x:v>caja-de-herramientas-itm-000013</x:v>
      </x:c>
      <x:c r="E14" s="8" t="str">
        <x:v>tools</x:v>
      </x:c>
      <x:c r="F14" s="8" t="str">
        <x:v>Caja de herramientas revisado por el equipo de Nodo Malasaña, con accesorios básicos y guía de uso incluida.</x:v>
      </x:c>
      <x:c r="G14" s="8" t="str">
        <x:v>excellent</x:v>
      </x:c>
      <x:c r="H14" s="8" t="str">
        <x:v>available</x:v>
      </x:c>
      <x:c r="I14" s="23" t="n">
        <x:v>0</x:v>
      </x:c>
      <x:c r="J14" s="8" t="n">
        <x:v>5</x:v>
      </x:c>
      <x:c r="K14" s="23" t="n">
        <x:v>239</x:v>
      </x:c>
      <x:c r="L14" s="24" t="n">
        <x:v>8.3</x:v>
      </x:c>
      <x:c r="M14" s="8" t="str">
        <x:v>tools|centro|excellent</x:v>
      </x:c>
      <x:c r="N14" s="25" t="str">
        <x:v>2024-11-06</x:v>
      </x:c>
      <x:c r="O14" s="8" t="str">
        <x:f>IF(COUNTIF('Centros'!$A$2:$A$13,B14)=1,"OK","ERROR")</x:f>
        <x:v>OK</x:v>
      </x:c>
    </x:row>
    <x:row r="15">
      <x:c r="A15" s="8" t="str">
        <x:v>ITM-000014</x:v>
      </x:c>
      <x:c r="B15" s="8" t="str">
        <x:v>HUB-MAD-002</x:v>
      </x:c>
      <x:c r="C15" s="8" t="str">
        <x:v>Olla de gran capacidad</x:v>
      </x:c>
      <x:c r="D15" s="8" t="str">
        <x:v>olla-de-gran-capacidad-itm-000014</x:v>
      </x:c>
      <x:c r="E15" s="8" t="str">
        <x:v>kitchen</x:v>
      </x:c>
      <x:c r="F15" s="8" t="str">
        <x:v>Olla de gran capacidad revisado por el equipo de Nodo Lavapiés, con accesorios básicos y guía de uso incluida.</x:v>
      </x:c>
      <x:c r="G15" s="8" t="str">
        <x:v>good</x:v>
      </x:c>
      <x:c r="H15" s="8" t="str">
        <x:v>available</x:v>
      </x:c>
      <x:c r="I15" s="23" t="n">
        <x:v>10</x:v>
      </x:c>
      <x:c r="J15" s="8" t="n">
        <x:v>6</x:v>
      </x:c>
      <x:c r="K15" s="23" t="n">
        <x:v>256</x:v>
      </x:c>
      <x:c r="L15" s="24" t="n">
        <x:v>9.6</x:v>
      </x:c>
      <x:c r="M15" s="8" t="str">
        <x:v>kitchen|centro|good</x:v>
      </x:c>
      <x:c r="N15" s="25" t="str">
        <x:v>2024-11-09</x:v>
      </x:c>
      <x:c r="O15" s="8" t="str">
        <x:f>IF(COUNTIF('Centros'!$A$2:$A$13,B15)=1,"OK","ERROR")</x:f>
        <x:v>OK</x:v>
      </x:c>
    </x:row>
    <x:row r="16">
      <x:c r="A16" s="8" t="str">
        <x:v>ITM-000015</x:v>
      </x:c>
      <x:c r="B16" s="8" t="str">
        <x:v>HUB-MAD-003</x:v>
      </x:c>
      <x:c r="C16" s="8" t="str">
        <x:v>Mesa de camping</x:v>
      </x:c>
      <x:c r="D16" s="8" t="str">
        <x:v>mesa-de-camping-itm-000015</x:v>
      </x:c>
      <x:c r="E16" s="8" t="str">
        <x:v>outdoor</x:v>
      </x:c>
      <x:c r="F16" s="8" t="str">
        <x:v>Mesa de camping revisado por el equipo de Nodo Palos de Moguer, con accesorios básicos y guía de uso incluida.</x:v>
      </x:c>
      <x:c r="G16" s="8" t="str">
        <x:v>good</x:v>
      </x:c>
      <x:c r="H16" s="8" t="str">
        <x:v>available</x:v>
      </x:c>
      <x:c r="I16" s="23" t="n">
        <x:v>20</x:v>
      </x:c>
      <x:c r="J16" s="8" t="n">
        <x:v>7</x:v>
      </x:c>
      <x:c r="K16" s="23" t="n">
        <x:v>273</x:v>
      </x:c>
      <x:c r="L16" s="24" t="n">
        <x:v>2.4</x:v>
      </x:c>
      <x:c r="M16" s="8" t="str">
        <x:v>outdoor|arganzuela|good</x:v>
      </x:c>
      <x:c r="N16" s="25" t="str">
        <x:v>2024-11-12</x:v>
      </x:c>
      <x:c r="O16" s="8" t="str">
        <x:f>IF(COUNTIF('Centros'!$A$2:$A$13,B16)=1,"OK","ERROR")</x:f>
        <x:v>OK</x:v>
      </x:c>
    </x:row>
    <x:row r="17">
      <x:c r="A17" s="8" t="str">
        <x:v>ITM-000016</x:v>
      </x:c>
      <x:c r="B17" s="8" t="str">
        <x:v>HUB-MAD-004</x:v>
      </x:c>
      <x:c r="C17" s="8" t="str">
        <x:v>Silla infantil para bici</x:v>
      </x:c>
      <x:c r="D17" s="8" t="str">
        <x:v>silla-infantil-para-bici-itm-000016</x:v>
      </x:c>
      <x:c r="E17" s="8" t="str">
        <x:v>mobility</x:v>
      </x:c>
      <x:c r="F17" s="8" t="str">
        <x:v>Silla infantil para bici revisado por el equipo de Nodo Trafalgar, con accesorios básicos y guía de uso incluida.</x:v>
      </x:c>
      <x:c r="G17" s="8" t="str">
        <x:v>fair</x:v>
      </x:c>
      <x:c r="H17" s="8" t="str">
        <x:v>available</x:v>
      </x:c>
      <x:c r="I17" s="23" t="n">
        <x:v>30</x:v>
      </x:c>
      <x:c r="J17" s="8" t="n">
        <x:v>3</x:v>
      </x:c>
      <x:c r="K17" s="23" t="n">
        <x:v>50</x:v>
      </x:c>
      <x:c r="L17" s="24" t="n">
        <x:v>3.7</x:v>
      </x:c>
      <x:c r="M17" s="8" t="str">
        <x:v>mobility|chamberí|fair</x:v>
      </x:c>
      <x:c r="N17" s="25" t="str">
        <x:v>2024-11-15</x:v>
      </x:c>
      <x:c r="O17" s="8" t="str">
        <x:f>IF(COUNTIF('Centros'!$A$2:$A$13,B17)=1,"OK","ERROR")</x:f>
        <x:v>OK</x:v>
      </x:c>
    </x:row>
    <x:row r="18">
      <x:c r="A18" s="8" t="str">
        <x:v>ITM-000017</x:v>
      </x:c>
      <x:c r="B18" s="8" t="str">
        <x:v>HUB-MAD-005</x:v>
      </x:c>
      <x:c r="C18" s="8" t="str">
        <x:v>Guirnalda exterior</x:v>
      </x:c>
      <x:c r="D18" s="8" t="str">
        <x:v>guirnalda-exterior-itm-000017</x:v>
      </x:c>
      <x:c r="E18" s="8" t="str">
        <x:v>events</x:v>
      </x:c>
      <x:c r="F18" s="8" t="str">
        <x:v>Guirnalda exterior revisado por el equipo de Nodo Bellas Vistas, con accesorios básicos y guía de uso incluida.</x:v>
      </x:c>
      <x:c r="G18" s="8" t="str">
        <x:v>excellent</x:v>
      </x:c>
      <x:c r="H18" s="8" t="str">
        <x:v>available</x:v>
      </x:c>
      <x:c r="I18" s="23" t="n">
        <x:v>0</x:v>
      </x:c>
      <x:c r="J18" s="8" t="n">
        <x:v>4</x:v>
      </x:c>
      <x:c r="K18" s="23" t="n">
        <x:v>67</x:v>
      </x:c>
      <x:c r="L18" s="24" t="n">
        <x:v>5</x:v>
      </x:c>
      <x:c r="M18" s="8" t="str">
        <x:v>events|tetuán|excellent</x:v>
      </x:c>
      <x:c r="N18" s="25" t="str">
        <x:v>2024-11-18</x:v>
      </x:c>
      <x:c r="O18" s="8" t="str">
        <x:f>IF(COUNTIF('Centros'!$A$2:$A$13,B18)=1,"OK","ERROR")</x:f>
        <x:v>OK</x:v>
      </x:c>
    </x:row>
    <x:row r="19">
      <x:c r="A19" s="8" t="str">
        <x:v>ITM-000018</x:v>
      </x:c>
      <x:c r="B19" s="8" t="str">
        <x:v>HUB-MAD-006</x:v>
      </x:c>
      <x:c r="C19" s="8" t="str">
        <x:v>Cámara instantánea</x:v>
      </x:c>
      <x:c r="D19" s="8" t="str">
        <x:v>camara-instantanea-itm-000018</x:v>
      </x:c>
      <x:c r="E19" s="8" t="str">
        <x:v>technology</x:v>
      </x:c>
      <x:c r="F19" s="8" t="str">
        <x:v>Cámara instantánea revisado por el equipo de Nodo Opañel, con accesorios básicos y guía de uso incluida.</x:v>
      </x:c>
      <x:c r="G19" s="8" t="str">
        <x:v>good</x:v>
      </x:c>
      <x:c r="H19" s="8" t="str">
        <x:v>available</x:v>
      </x:c>
      <x:c r="I19" s="23" t="n">
        <x:v>10</x:v>
      </x:c>
      <x:c r="J19" s="8" t="n">
        <x:v>5</x:v>
      </x:c>
      <x:c r="K19" s="23" t="n">
        <x:v>84</x:v>
      </x:c>
      <x:c r="L19" s="24" t="n">
        <x:v>6.3</x:v>
      </x:c>
      <x:c r="M19" s="8" t="str">
        <x:v>technology|carabanchel|good</x:v>
      </x:c>
      <x:c r="N19" s="25" t="str">
        <x:v>2024-11-21</x:v>
      </x:c>
      <x:c r="O19" s="8" t="str">
        <x:f>IF(COUNTIF('Centros'!$A$2:$A$13,B19)=1,"OK","ERROR")</x:f>
        <x:v>OK</x:v>
      </x:c>
    </x:row>
    <x:row r="20">
      <x:c r="A20" s="8" t="str">
        <x:v>ITM-000019</x:v>
      </x:c>
      <x:c r="B20" s="8" t="str">
        <x:v>HUB-MAD-007</x:v>
      </x:c>
      <x:c r="C20" s="8" t="str">
        <x:v>Hidrolimpiadora compacta</x:v>
      </x:c>
      <x:c r="D20" s="8" t="str">
        <x:v>hidrolimpiadora-compacta-itm-000019</x:v>
      </x:c>
      <x:c r="E20" s="8" t="str">
        <x:v>tools</x:v>
      </x:c>
      <x:c r="F20" s="8" t="str">
        <x:v>Hidrolimpiadora compacta revisado por el equipo de Nodo Almendrales, con accesorios básicos y guía de uso incluida.</x:v>
      </x:c>
      <x:c r="G20" s="8" t="str">
        <x:v>good</x:v>
      </x:c>
      <x:c r="H20" s="8" t="str">
        <x:v>available</x:v>
      </x:c>
      <x:c r="I20" s="23" t="n">
        <x:v>20</x:v>
      </x:c>
      <x:c r="J20" s="8" t="n">
        <x:v>6</x:v>
      </x:c>
      <x:c r="K20" s="23" t="n">
        <x:v>101</x:v>
      </x:c>
      <x:c r="L20" s="24" t="n">
        <x:v>7.6</x:v>
      </x:c>
      <x:c r="M20" s="8" t="str">
        <x:v>tools|usera|good</x:v>
      </x:c>
      <x:c r="N20" s="25" t="str">
        <x:v>2024-11-24</x:v>
      </x:c>
      <x:c r="O20" s="8" t="str">
        <x:f>IF(COUNTIF('Centros'!$A$2:$A$13,B20)=1,"OK","ERROR")</x:f>
        <x:v>OK</x:v>
      </x:c>
    </x:row>
    <x:row r="21">
      <x:c r="A21" s="8" t="str">
        <x:v>ITM-000020</x:v>
      </x:c>
      <x:c r="B21" s="8" t="str">
        <x:v>HUB-MAD-008</x:v>
      </x:c>
      <x:c r="C21" s="8" t="str">
        <x:v>Máquina de pasta</x:v>
      </x:c>
      <x:c r="D21" s="8" t="str">
        <x:v>maquina-de-pasta-itm-000020</x:v>
      </x:c>
      <x:c r="E21" s="8" t="str">
        <x:v>kitchen</x:v>
      </x:c>
      <x:c r="F21" s="8" t="str">
        <x:v>Máquina de pasta revisado por el equipo de Nodo Numancia, con accesorios básicos y guía de uso incluida.</x:v>
      </x:c>
      <x:c r="G21" s="8" t="str">
        <x:v>fair</x:v>
      </x:c>
      <x:c r="H21" s="8" t="str">
        <x:v>available</x:v>
      </x:c>
      <x:c r="I21" s="23" t="n">
        <x:v>30</x:v>
      </x:c>
      <x:c r="J21" s="8" t="n">
        <x:v>7</x:v>
      </x:c>
      <x:c r="K21" s="23" t="n">
        <x:v>118</x:v>
      </x:c>
      <x:c r="L21" s="24" t="n">
        <x:v>8.9</x:v>
      </x:c>
      <x:c r="M21" s="8" t="str">
        <x:v>kitchen|puente de vallecas|fair</x:v>
      </x:c>
      <x:c r="N21" s="25" t="str">
        <x:v>2024-11-27</x:v>
      </x:c>
      <x:c r="O21" s="8" t="str">
        <x:f>IF(COUNTIF('Centros'!$A$2:$A$13,B21)=1,"OK","ERROR")</x:f>
        <x:v>OK</x:v>
      </x:c>
    </x:row>
    <x:row r="22">
      <x:c r="A22" s="8" t="str">
        <x:v>ITM-000021</x:v>
      </x:c>
      <x:c r="B22" s="8" t="str">
        <x:v>HUB-MAD-009</x:v>
      </x:c>
      <x:c r="C22" s="8" t="str">
        <x:v>Prismáticos 10x42</x:v>
      </x:c>
      <x:c r="D22" s="8" t="str">
        <x:v>prismaticos-10x42-itm-000021</x:v>
      </x:c>
      <x:c r="E22" s="8" t="str">
        <x:v>outdoor</x:v>
      </x:c>
      <x:c r="F22" s="8" t="str">
        <x:v>Prismáticos 10x42 revisado por el equipo de Nodo Pacífico, con accesorios básicos y guía de uso incluida.</x:v>
      </x:c>
      <x:c r="G22" s="8" t="str">
        <x:v>excellent</x:v>
      </x:c>
      <x:c r="H22" s="8" t="str">
        <x:v>available</x:v>
      </x:c>
      <x:c r="I22" s="23" t="n">
        <x:v>0</x:v>
      </x:c>
      <x:c r="J22" s="8" t="n">
        <x:v>3</x:v>
      </x:c>
      <x:c r="K22" s="23" t="n">
        <x:v>135</x:v>
      </x:c>
      <x:c r="L22" s="24" t="n">
        <x:v>1.7</x:v>
      </x:c>
      <x:c r="M22" s="8" t="str">
        <x:v>outdoor|retiro|excellent</x:v>
      </x:c>
      <x:c r="N22" s="25" t="str">
        <x:v>2024-11-30</x:v>
      </x:c>
      <x:c r="O22" s="8" t="str">
        <x:f>IF(COUNTIF('Centros'!$A$2:$A$13,B22)=1,"OK","ERROR")</x:f>
        <x:v>OK</x:v>
      </x:c>
    </x:row>
    <x:row r="23">
      <x:c r="A23" s="8" t="str">
        <x:v>ITM-000022</x:v>
      </x:c>
      <x:c r="B23" s="8" t="str">
        <x:v>HUB-MAD-010</x:v>
      </x:c>
      <x:c r="C23" s="8" t="str">
        <x:v>Bomba de pie</x:v>
      </x:c>
      <x:c r="D23" s="8" t="str">
        <x:v>bomba-de-pie-itm-000022</x:v>
      </x:c>
      <x:c r="E23" s="8" t="str">
        <x:v>mobility</x:v>
      </x:c>
      <x:c r="F23" s="8" t="str">
        <x:v>Bomba de pie revisado por el equipo de Nodo Canillas, con accesorios básicos y guía de uso incluida.</x:v>
      </x:c>
      <x:c r="G23" s="8" t="str">
        <x:v>good</x:v>
      </x:c>
      <x:c r="H23" s="8" t="str">
        <x:v>available</x:v>
      </x:c>
      <x:c r="I23" s="23" t="n">
        <x:v>10</x:v>
      </x:c>
      <x:c r="J23" s="8" t="n">
        <x:v>4</x:v>
      </x:c>
      <x:c r="K23" s="23" t="n">
        <x:v>152</x:v>
      </x:c>
      <x:c r="L23" s="24" t="n">
        <x:v>3</x:v>
      </x:c>
      <x:c r="M23" s="8" t="str">
        <x:v>mobility|hortaleza|good</x:v>
      </x:c>
      <x:c r="N23" s="25" t="str">
        <x:v>2024-12-03</x:v>
      </x:c>
      <x:c r="O23" s="8" t="str">
        <x:f>IF(COUNTIF('Centros'!$A$2:$A$13,B23)=1,"OK","ERROR")</x:f>
        <x:v>OK</x:v>
      </x:c>
    </x:row>
    <x:row r="24">
      <x:c r="A24" s="8" t="str">
        <x:v>ITM-000023</x:v>
      </x:c>
      <x:c r="B24" s="8" t="str">
        <x:v>HUB-MAD-011</x:v>
      </x:c>
      <x:c r="C24" s="8" t="str">
        <x:v>Carpa plegable 3x3</x:v>
      </x:c>
      <x:c r="D24" s="8" t="str">
        <x:v>carpa-plegable-3x3-itm-000023</x:v>
      </x:c>
      <x:c r="E24" s="8" t="str">
        <x:v>events</x:v>
      </x:c>
      <x:c r="F24" s="8" t="str">
        <x:v>Carpa plegable 3x3 revisado por el equipo de Nodo Puerta del Ángel, con accesorios básicos y guía de uso incluida.</x:v>
      </x:c>
      <x:c r="G24" s="8" t="str">
        <x:v>good</x:v>
      </x:c>
      <x:c r="H24" s="8" t="str">
        <x:v>available</x:v>
      </x:c>
      <x:c r="I24" s="23" t="n">
        <x:v>20</x:v>
      </x:c>
      <x:c r="J24" s="8" t="n">
        <x:v>5</x:v>
      </x:c>
      <x:c r="K24" s="23" t="n">
        <x:v>169</x:v>
      </x:c>
      <x:c r="L24" s="24" t="n">
        <x:v>4.3</x:v>
      </x:c>
      <x:c r="M24" s="8" t="str">
        <x:v>events|latina|good</x:v>
      </x:c>
      <x:c r="N24" s="25" t="str">
        <x:v>2024-12-06</x:v>
      </x:c>
      <x:c r="O24" s="8" t="str">
        <x:f>IF(COUNTIF('Centros'!$A$2:$A$13,B24)=1,"OK","ERROR")</x:f>
        <x:v>OK</x:v>
      </x:c>
    </x:row>
    <x:row r="25">
      <x:c r="A25" s="8" t="str">
        <x:v>ITM-000024</x:v>
      </x:c>
      <x:c r="B25" s="8" t="str">
        <x:v>HUB-MAD-012</x:v>
      </x:c>
      <x:c r="C25" s="8" t="str">
        <x:v>Medidor láser</x:v>
      </x:c>
      <x:c r="D25" s="8" t="str">
        <x:v>medidor-laser-itm-000024</x:v>
      </x:c>
      <x:c r="E25" s="8" t="str">
        <x:v>technology</x:v>
      </x:c>
      <x:c r="F25" s="8" t="str">
        <x:v>Medidor láser revisado por el equipo de Nodo Argüelles, con accesorios básicos y guía de uso incluida.</x:v>
      </x:c>
      <x:c r="G25" s="8" t="str">
        <x:v>fair</x:v>
      </x:c>
      <x:c r="H25" s="8" t="str">
        <x:v>available</x:v>
      </x:c>
      <x:c r="I25" s="23" t="n">
        <x:v>30</x:v>
      </x:c>
      <x:c r="J25" s="8" t="n">
        <x:v>6</x:v>
      </x:c>
      <x:c r="K25" s="23" t="n">
        <x:v>186</x:v>
      </x:c>
      <x:c r="L25" s="24" t="n">
        <x:v>5.6</x:v>
      </x:c>
      <x:c r="M25" s="8" t="str">
        <x:v>technology|moncloa-aravaca|fair</x:v>
      </x:c>
      <x:c r="N25" s="25" t="str">
        <x:v>2024-12-09</x:v>
      </x:c>
      <x:c r="O25" s="8" t="str">
        <x:f>IF(COUNTIF('Centros'!$A$2:$A$13,B25)=1,"OK","ERROR")</x:f>
        <x:v>OK</x:v>
      </x:c>
    </x:row>
    <x:row r="26">
      <x:c r="A26" s="8" t="str">
        <x:v>ITM-000025</x:v>
      </x:c>
      <x:c r="B26" s="8" t="str">
        <x:v>HUB-MAD-001</x:v>
      </x:c>
      <x:c r="C26" s="8" t="str">
        <x:v>Sierra de calar</x:v>
      </x:c>
      <x:c r="D26" s="8" t="str">
        <x:v>sierra-de-calar-itm-000025</x:v>
      </x:c>
      <x:c r="E26" s="8" t="str">
        <x:v>tools</x:v>
      </x:c>
      <x:c r="F26" s="8" t="str">
        <x:v>Sierra de calar revisado por el equipo de Nodo Malasaña, con accesorios básicos y guía de uso incluida.</x:v>
      </x:c>
      <x:c r="G26" s="8" t="str">
        <x:v>excellent</x:v>
      </x:c>
      <x:c r="H26" s="8" t="str">
        <x:v>available</x:v>
      </x:c>
      <x:c r="I26" s="23" t="n">
        <x:v>0</x:v>
      </x:c>
      <x:c r="J26" s="8" t="n">
        <x:v>7</x:v>
      </x:c>
      <x:c r="K26" s="23" t="n">
        <x:v>203</x:v>
      </x:c>
      <x:c r="L26" s="24" t="n">
        <x:v>6.9</x:v>
      </x:c>
      <x:c r="M26" s="8" t="str">
        <x:v>tools|centro|excellent</x:v>
      </x:c>
      <x:c r="N26" s="25" t="str">
        <x:v>2024-12-12</x:v>
      </x:c>
      <x:c r="O26" s="8" t="str">
        <x:f>IF(COUNTIF('Centros'!$A$2:$A$13,B26)=1,"OK","ERROR")</x:f>
        <x:v>OK</x:v>
      </x:c>
    </x:row>
    <x:row r="27">
      <x:c r="A27" s="8" t="str">
        <x:v>ITM-000026</x:v>
      </x:c>
      <x:c r="B27" s="8" t="str">
        <x:v>HUB-MAD-002</x:v>
      </x:c>
      <x:c r="C27" s="8" t="str">
        <x:v>Batidora de vaso</x:v>
      </x:c>
      <x:c r="D27" s="8" t="str">
        <x:v>batidora-de-vaso-itm-000026</x:v>
      </x:c>
      <x:c r="E27" s="8" t="str">
        <x:v>kitchen</x:v>
      </x:c>
      <x:c r="F27" s="8" t="str">
        <x:v>Batidora de vaso revisado por el equipo de Nodo Lavapiés, con accesorios básicos y guía de uso incluida.</x:v>
      </x:c>
      <x:c r="G27" s="8" t="str">
        <x:v>good</x:v>
      </x:c>
      <x:c r="H27" s="8" t="str">
        <x:v>available</x:v>
      </x:c>
      <x:c r="I27" s="23" t="n">
        <x:v>10</x:v>
      </x:c>
      <x:c r="J27" s="8" t="n">
        <x:v>3</x:v>
      </x:c>
      <x:c r="K27" s="23" t="n">
        <x:v>220</x:v>
      </x:c>
      <x:c r="L27" s="24" t="n">
        <x:v>8.2</x:v>
      </x:c>
      <x:c r="M27" s="8" t="str">
        <x:v>kitchen|centro|good</x:v>
      </x:c>
      <x:c r="N27" s="25" t="str">
        <x:v>2024-12-15</x:v>
      </x:c>
      <x:c r="O27" s="8" t="str">
        <x:f>IF(COUNTIF('Centros'!$A$2:$A$13,B27)=1,"OK","ERROR")</x:f>
        <x:v>OK</x:v>
      </x:c>
    </x:row>
    <x:row r="28">
      <x:c r="A28" s="8" t="str">
        <x:v>ITM-000027</x:v>
      </x:c>
      <x:c r="B28" s="8" t="str">
        <x:v>HUB-MAD-003</x:v>
      </x:c>
      <x:c r="C28" s="8" t="str">
        <x:v>Saco de dormir</x:v>
      </x:c>
      <x:c r="D28" s="8" t="str">
        <x:v>saco-de-dormir-itm-000027</x:v>
      </x:c>
      <x:c r="E28" s="8" t="str">
        <x:v>outdoor</x:v>
      </x:c>
      <x:c r="F28" s="8" t="str">
        <x:v>Saco de dormir revisado por el equipo de Nodo Palos de Moguer, con accesorios básicos y guía de uso incluida.</x:v>
      </x:c>
      <x:c r="G28" s="8" t="str">
        <x:v>good</x:v>
      </x:c>
      <x:c r="H28" s="8" t="str">
        <x:v>available</x:v>
      </x:c>
      <x:c r="I28" s="23" t="n">
        <x:v>20</x:v>
      </x:c>
      <x:c r="J28" s="8" t="n">
        <x:v>4</x:v>
      </x:c>
      <x:c r="K28" s="23" t="n">
        <x:v>237</x:v>
      </x:c>
      <x:c r="L28" s="24" t="n">
        <x:v>9.5</x:v>
      </x:c>
      <x:c r="M28" s="8" t="str">
        <x:v>outdoor|arganzuela|good</x:v>
      </x:c>
      <x:c r="N28" s="25" t="str">
        <x:v>2024-12-18</x:v>
      </x:c>
      <x:c r="O28" s="8" t="str">
        <x:f>IF(COUNTIF('Centros'!$A$2:$A$13,B28)=1,"OK","ERROR")</x:f>
        <x:v>OK</x:v>
      </x:c>
    </x:row>
    <x:row r="29">
      <x:c r="A29" s="8" t="str">
        <x:v>ITM-000028</x:v>
      </x:c>
      <x:c r="B29" s="8" t="str">
        <x:v>HUB-MAD-004</x:v>
      </x:c>
      <x:c r="C29" s="8" t="str">
        <x:v>Kit reparación de bici</x:v>
      </x:c>
      <x:c r="D29" s="8" t="str">
        <x:v>kit-reparacion-de-bici-itm-000028</x:v>
      </x:c>
      <x:c r="E29" s="8" t="str">
        <x:v>mobility</x:v>
      </x:c>
      <x:c r="F29" s="8" t="str">
        <x:v>Kit reparación de bici revisado por el equipo de Nodo Trafalgar, con accesorios básicos y guía de uso incluida.</x:v>
      </x:c>
      <x:c r="G29" s="8" t="str">
        <x:v>fair</x:v>
      </x:c>
      <x:c r="H29" s="8" t="str">
        <x:v>available</x:v>
      </x:c>
      <x:c r="I29" s="23" t="n">
        <x:v>30</x:v>
      </x:c>
      <x:c r="J29" s="8" t="n">
        <x:v>5</x:v>
      </x:c>
      <x:c r="K29" s="23" t="n">
        <x:v>254</x:v>
      </x:c>
      <x:c r="L29" s="24" t="n">
        <x:v>2.3</x:v>
      </x:c>
      <x:c r="M29" s="8" t="str">
        <x:v>mobility|chamberí|fair</x:v>
      </x:c>
      <x:c r="N29" s="25" t="str">
        <x:v>2024-12-21</x:v>
      </x:c>
      <x:c r="O29" s="8" t="str">
        <x:f>IF(COUNTIF('Centros'!$A$2:$A$13,B29)=1,"OK","ERROR")</x:f>
        <x:v>OK</x:v>
      </x:c>
    </x:row>
    <x:row r="30">
      <x:c r="A30" s="8" t="str">
        <x:v>ITM-000029</x:v>
      </x:c>
      <x:c r="B30" s="8" t="str">
        <x:v>HUB-MAD-005</x:v>
      </x:c>
      <x:c r="C30" s="8" t="str">
        <x:v>Pack de 30 sillas</x:v>
      </x:c>
      <x:c r="D30" s="8" t="str">
        <x:v>pack-de-30-sillas-itm-000029</x:v>
      </x:c>
      <x:c r="E30" s="8" t="str">
        <x:v>events</x:v>
      </x:c>
      <x:c r="F30" s="8" t="str">
        <x:v>Pack de 30 sillas revisado por el equipo de Nodo Bellas Vistas, con accesorios básicos y guía de uso incluida.</x:v>
      </x:c>
      <x:c r="G30" s="8" t="str">
        <x:v>excellent</x:v>
      </x:c>
      <x:c r="H30" s="8" t="str">
        <x:v>available</x:v>
      </x:c>
      <x:c r="I30" s="23" t="n">
        <x:v>0</x:v>
      </x:c>
      <x:c r="J30" s="8" t="n">
        <x:v>6</x:v>
      </x:c>
      <x:c r="K30" s="23" t="n">
        <x:v>271</x:v>
      </x:c>
      <x:c r="L30" s="24" t="n">
        <x:v>3.6</x:v>
      </x:c>
      <x:c r="M30" s="8" t="str">
        <x:v>events|tetuán|excellent</x:v>
      </x:c>
      <x:c r="N30" s="25" t="str">
        <x:v>2024-12-24</x:v>
      </x:c>
      <x:c r="O30" s="8" t="str">
        <x:f>IF(COUNTIF('Centros'!$A$2:$A$13,B30)=1,"OK","ERROR")</x:f>
        <x:v>OK</x:v>
      </x:c>
    </x:row>
    <x:row r="31">
      <x:c r="A31" s="8" t="str">
        <x:v>ITM-000030</x:v>
      </x:c>
      <x:c r="B31" s="8" t="str">
        <x:v>HUB-MAD-006</x:v>
      </x:c>
      <x:c r="C31" s="8" t="str">
        <x:v>Tablet gráfica</x:v>
      </x:c>
      <x:c r="D31" s="8" t="str">
        <x:v>tablet-grafica-itm-000030</x:v>
      </x:c>
      <x:c r="E31" s="8" t="str">
        <x:v>technology</x:v>
      </x:c>
      <x:c r="F31" s="8" t="str">
        <x:v>Tablet gráfica revisado por el equipo de Nodo Opañel, con accesorios básicos y guía de uso incluida.</x:v>
      </x:c>
      <x:c r="G31" s="8" t="str">
        <x:v>good</x:v>
      </x:c>
      <x:c r="H31" s="8" t="str">
        <x:v>maintenance</x:v>
      </x:c>
      <x:c r="I31" s="23" t="n">
        <x:v>0</x:v>
      </x:c>
      <x:c r="J31" s="8" t="n">
        <x:v>7</x:v>
      </x:c>
      <x:c r="K31" s="23" t="n">
        <x:v>48</x:v>
      </x:c>
      <x:c r="L31" s="24" t="n">
        <x:v>4.9</x:v>
      </x:c>
      <x:c r="M31" s="8" t="str">
        <x:v>technology|carabanchel|good</x:v>
      </x:c>
      <x:c r="N31" s="25" t="str">
        <x:v>2024-12-27</x:v>
      </x:c>
      <x:c r="O31" s="8" t="str">
        <x:f>IF(COUNTIF('Centros'!$A$2:$A$13,B31)=1,"OK","ERROR")</x:f>
        <x:v>OK</x:v>
      </x:c>
    </x:row>
    <x:row r="32">
      <x:c r="A32" s="8" t="str">
        <x:v>ITM-000031</x:v>
      </x:c>
      <x:c r="B32" s="8" t="str">
        <x:v>HUB-MAD-007</x:v>
      </x:c>
      <x:c r="C32" s="8" t="str">
        <x:v>Taladro percutor 18V</x:v>
      </x:c>
      <x:c r="D32" s="8" t="str">
        <x:v>taladro-percutor-18v-itm-000031</x:v>
      </x:c>
      <x:c r="E32" s="8" t="str">
        <x:v>tools</x:v>
      </x:c>
      <x:c r="F32" s="8" t="str">
        <x:v>Taladro percutor 18V revisado por el equipo de Nodo Almendrales, con accesorios básicos y guía de uso incluida.</x:v>
      </x:c>
      <x:c r="G32" s="8" t="str">
        <x:v>good</x:v>
      </x:c>
      <x:c r="H32" s="8" t="str">
        <x:v>available</x:v>
      </x:c>
      <x:c r="I32" s="23" t="n">
        <x:v>20</x:v>
      </x:c>
      <x:c r="J32" s="8" t="n">
        <x:v>3</x:v>
      </x:c>
      <x:c r="K32" s="23" t="n">
        <x:v>65</x:v>
      </x:c>
      <x:c r="L32" s="24" t="n">
        <x:v>6.2</x:v>
      </x:c>
      <x:c r="M32" s="8" t="str">
        <x:v>tools|usera|good</x:v>
      </x:c>
      <x:c r="N32" s="25" t="str">
        <x:v>2024-12-30</x:v>
      </x:c>
      <x:c r="O32" s="8" t="str">
        <x:f>IF(COUNTIF('Centros'!$A$2:$A$13,B32)=1,"OK","ERROR")</x:f>
        <x:v>OK</x:v>
      </x:c>
    </x:row>
    <x:row r="33">
      <x:c r="A33" s="8" t="str">
        <x:v>ITM-000032</x:v>
      </x:c>
      <x:c r="B33" s="8" t="str">
        <x:v>HUB-MAD-008</x:v>
      </x:c>
      <x:c r="C33" s="8" t="str">
        <x:v>Vajilla para 24 personas</x:v>
      </x:c>
      <x:c r="D33" s="8" t="str">
        <x:v>vajilla-para-24-personas-itm-000032</x:v>
      </x:c>
      <x:c r="E33" s="8" t="str">
        <x:v>kitchen</x:v>
      </x:c>
      <x:c r="F33" s="8" t="str">
        <x:v>Vajilla para 24 personas revisado por el equipo de Nodo Numancia, con accesorios básicos y guía de uso incluida.</x:v>
      </x:c>
      <x:c r="G33" s="8" t="str">
        <x:v>fair</x:v>
      </x:c>
      <x:c r="H33" s="8" t="str">
        <x:v>available</x:v>
      </x:c>
      <x:c r="I33" s="23" t="n">
        <x:v>30</x:v>
      </x:c>
      <x:c r="J33" s="8" t="n">
        <x:v>4</x:v>
      </x:c>
      <x:c r="K33" s="23" t="n">
        <x:v>82</x:v>
      </x:c>
      <x:c r="L33" s="24" t="n">
        <x:v>7.5</x:v>
      </x:c>
      <x:c r="M33" s="8" t="str">
        <x:v>kitchen|puente de vallecas|fair</x:v>
      </x:c>
      <x:c r="N33" s="25" t="str">
        <x:v>2025-01-02</x:v>
      </x:c>
      <x:c r="O33" s="8" t="str">
        <x:f>IF(COUNTIF('Centros'!$A$2:$A$13,B33)=1,"OK","ERROR")</x:f>
        <x:v>OK</x:v>
      </x:c>
    </x:row>
    <x:row r="34">
      <x:c r="A34" s="8" t="str">
        <x:v>ITM-000033</x:v>
      </x:c>
      <x:c r="B34" s="8" t="str">
        <x:v>HUB-MAD-009</x:v>
      </x:c>
      <x:c r="C34" s="8" t="str">
        <x:v>Tienda de campaña 3P</x:v>
      </x:c>
      <x:c r="D34" s="8" t="str">
        <x:v>tienda-de-campana-3p-itm-000033</x:v>
      </x:c>
      <x:c r="E34" s="8" t="str">
        <x:v>outdoor</x:v>
      </x:c>
      <x:c r="F34" s="8" t="str">
        <x:v>Tienda de campaña 3P revisado por el equipo de Nodo Pacífico, con accesorios básicos y guía de uso incluida.</x:v>
      </x:c>
      <x:c r="G34" s="8" t="str">
        <x:v>excellent</x:v>
      </x:c>
      <x:c r="H34" s="8" t="str">
        <x:v>available</x:v>
      </x:c>
      <x:c r="I34" s="23" t="n">
        <x:v>0</x:v>
      </x:c>
      <x:c r="J34" s="8" t="n">
        <x:v>5</x:v>
      </x:c>
      <x:c r="K34" s="23" t="n">
        <x:v>99</x:v>
      </x:c>
      <x:c r="L34" s="24" t="n">
        <x:v>8.8</x:v>
      </x:c>
      <x:c r="M34" s="8" t="str">
        <x:v>outdoor|retiro|excellent</x:v>
      </x:c>
      <x:c r="N34" s="25" t="str">
        <x:v>2025-01-05</x:v>
      </x:c>
      <x:c r="O34" s="8" t="str">
        <x:f>IF(COUNTIF('Centros'!$A$2:$A$13,B34)=1,"OK","ERROR")</x:f>
        <x:v>OK</x:v>
      </x:c>
    </x:row>
    <x:row r="35">
      <x:c r="A35" s="8" t="str">
        <x:v>ITM-000034</x:v>
      </x:c>
      <x:c r="B35" s="8" t="str">
        <x:v>HUB-MAD-010</x:v>
      </x:c>
      <x:c r="C35" s="8" t="str">
        <x:v>Bicicleta urbana</x:v>
      </x:c>
      <x:c r="D35" s="8" t="str">
        <x:v>bicicleta-urbana-itm-000034</x:v>
      </x:c>
      <x:c r="E35" s="8" t="str">
        <x:v>mobility</x:v>
      </x:c>
      <x:c r="F35" s="8" t="str">
        <x:v>Bicicleta urbana revisado por el equipo de Nodo Canillas, con accesorios básicos y guía de uso incluida.</x:v>
      </x:c>
      <x:c r="G35" s="8" t="str">
        <x:v>good</x:v>
      </x:c>
      <x:c r="H35" s="8" t="str">
        <x:v>available</x:v>
      </x:c>
      <x:c r="I35" s="23" t="n">
        <x:v>10</x:v>
      </x:c>
      <x:c r="J35" s="8" t="n">
        <x:v>6</x:v>
      </x:c>
      <x:c r="K35" s="23" t="n">
        <x:v>116</x:v>
      </x:c>
      <x:c r="L35" s="24" t="n">
        <x:v>1.6</x:v>
      </x:c>
      <x:c r="M35" s="8" t="str">
        <x:v>mobility|hortaleza|good</x:v>
      </x:c>
      <x:c r="N35" s="25" t="str">
        <x:v>2025-01-08</x:v>
      </x:c>
      <x:c r="O35" s="8" t="str">
        <x:f>IF(COUNTIF('Centros'!$A$2:$A$13,B35)=1,"OK","ERROR")</x:f>
        <x:v>OK</x:v>
      </x:c>
    </x:row>
    <x:row r="36">
      <x:c r="A36" s="8" t="str">
        <x:v>ITM-000035</x:v>
      </x:c>
      <x:c r="B36" s="8" t="str">
        <x:v>HUB-MAD-011</x:v>
      </x:c>
      <x:c r="C36" s="8" t="str">
        <x:v>Proyector portátil</x:v>
      </x:c>
      <x:c r="D36" s="8" t="str">
        <x:v>proyector-portatil-itm-000035</x:v>
      </x:c>
      <x:c r="E36" s="8" t="str">
        <x:v>events</x:v>
      </x:c>
      <x:c r="F36" s="8" t="str">
        <x:v>Proyector portátil revisado por el equipo de Nodo Puerta del Ángel, con accesorios básicos y guía de uso incluida.</x:v>
      </x:c>
      <x:c r="G36" s="8" t="str">
        <x:v>good</x:v>
      </x:c>
      <x:c r="H36" s="8" t="str">
        <x:v>available</x:v>
      </x:c>
      <x:c r="I36" s="23" t="n">
        <x:v>20</x:v>
      </x:c>
      <x:c r="J36" s="8" t="n">
        <x:v>7</x:v>
      </x:c>
      <x:c r="K36" s="23" t="n">
        <x:v>133</x:v>
      </x:c>
      <x:c r="L36" s="24" t="n">
        <x:v>2.9</x:v>
      </x:c>
      <x:c r="M36" s="8" t="str">
        <x:v>events|latina|good</x:v>
      </x:c>
      <x:c r="N36" s="25" t="str">
        <x:v>2025-01-11</x:v>
      </x:c>
      <x:c r="O36" s="8" t="str">
        <x:f>IF(COUNTIF('Centros'!$A$2:$A$13,B36)=1,"OK","ERROR")</x:f>
        <x:v>OK</x:v>
      </x:c>
    </x:row>
    <x:row r="37">
      <x:c r="A37" s="8" t="str">
        <x:v>ITM-000036</x:v>
      </x:c>
      <x:c r="B37" s="8" t="str">
        <x:v>HUB-MAD-012</x:v>
      </x:c>
      <x:c r="C37" s="8" t="str">
        <x:v>Escáner documental</x:v>
      </x:c>
      <x:c r="D37" s="8" t="str">
        <x:v>escaner-documental-itm-000036</x:v>
      </x:c>
      <x:c r="E37" s="8" t="str">
        <x:v>technology</x:v>
      </x:c>
      <x:c r="F37" s="8" t="str">
        <x:v>Escáner documental revisado por el equipo de Nodo Argüelles, con accesorios básicos y guía de uso incluida.</x:v>
      </x:c>
      <x:c r="G37" s="8" t="str">
        <x:v>fair</x:v>
      </x:c>
      <x:c r="H37" s="8" t="str">
        <x:v>available</x:v>
      </x:c>
      <x:c r="I37" s="23" t="n">
        <x:v>30</x:v>
      </x:c>
      <x:c r="J37" s="8" t="n">
        <x:v>3</x:v>
      </x:c>
      <x:c r="K37" s="23" t="n">
        <x:v>150</x:v>
      </x:c>
      <x:c r="L37" s="24" t="n">
        <x:v>4.2</x:v>
      </x:c>
      <x:c r="M37" s="8" t="str">
        <x:v>technology|moncloa-aravaca|fair</x:v>
      </x:c>
      <x:c r="N37" s="25" t="str">
        <x:v>2025-01-14</x:v>
      </x:c>
      <x:c r="O37" s="8" t="str">
        <x:f>IF(COUNTIF('Centros'!$A$2:$A$13,B37)=1,"OK","ERROR")</x:f>
        <x:v>OK</x:v>
      </x:c>
    </x:row>
    <x:row r="38">
      <x:c r="A38" s="8" t="str">
        <x:v>ITM-000037</x:v>
      </x:c>
      <x:c r="B38" s="8" t="str">
        <x:v>HUB-MAD-001</x:v>
      </x:c>
      <x:c r="C38" s="8" t="str">
        <x:v>Lijadora orbital</x:v>
      </x:c>
      <x:c r="D38" s="8" t="str">
        <x:v>lijadora-orbital-itm-000037</x:v>
      </x:c>
      <x:c r="E38" s="8" t="str">
        <x:v>tools</x:v>
      </x:c>
      <x:c r="F38" s="8" t="str">
        <x:v>Lijadora orbital revisado por el equipo de Nodo Malasaña, con accesorios básicos y guía de uso incluida.</x:v>
      </x:c>
      <x:c r="G38" s="8" t="str">
        <x:v>excellent</x:v>
      </x:c>
      <x:c r="H38" s="8" t="str">
        <x:v>available</x:v>
      </x:c>
      <x:c r="I38" s="23" t="n">
        <x:v>0</x:v>
      </x:c>
      <x:c r="J38" s="8" t="n">
        <x:v>4</x:v>
      </x:c>
      <x:c r="K38" s="23" t="n">
        <x:v>167</x:v>
      </x:c>
      <x:c r="L38" s="24" t="n">
        <x:v>5.5</x:v>
      </x:c>
      <x:c r="M38" s="8" t="str">
        <x:v>tools|centro|excellent</x:v>
      </x:c>
      <x:c r="N38" s="25" t="str">
        <x:v>2025-01-17</x:v>
      </x:c>
      <x:c r="O38" s="8" t="str">
        <x:f>IF(COUNTIF('Centros'!$A$2:$A$13,B38)=1,"OK","ERROR")</x:f>
        <x:v>OK</x:v>
      </x:c>
    </x:row>
    <x:row r="39">
      <x:c r="A39" s="8" t="str">
        <x:v>ITM-000038</x:v>
      </x:c>
      <x:c r="B39" s="8" t="str">
        <x:v>HUB-MAD-002</x:v>
      </x:c>
      <x:c r="C39" s="8" t="str">
        <x:v>Robot de cocina</x:v>
      </x:c>
      <x:c r="D39" s="8" t="str">
        <x:v>robot-de-cocina-itm-000038</x:v>
      </x:c>
      <x:c r="E39" s="8" t="str">
        <x:v>kitchen</x:v>
      </x:c>
      <x:c r="F39" s="8" t="str">
        <x:v>Robot de cocina revisado por el equipo de Nodo Lavapiés, con accesorios básicos y guía de uso incluida.</x:v>
      </x:c>
      <x:c r="G39" s="8" t="str">
        <x:v>good</x:v>
      </x:c>
      <x:c r="H39" s="8" t="str">
        <x:v>available</x:v>
      </x:c>
      <x:c r="I39" s="23" t="n">
        <x:v>10</x:v>
      </x:c>
      <x:c r="J39" s="8" t="n">
        <x:v>5</x:v>
      </x:c>
      <x:c r="K39" s="23" t="n">
        <x:v>184</x:v>
      </x:c>
      <x:c r="L39" s="24" t="n">
        <x:v>6.8</x:v>
      </x:c>
      <x:c r="M39" s="8" t="str">
        <x:v>kitchen|centro|good</x:v>
      </x:c>
      <x:c r="N39" s="25" t="str">
        <x:v>2025-01-20</x:v>
      </x:c>
      <x:c r="O39" s="8" t="str">
        <x:f>IF(COUNTIF('Centros'!$A$2:$A$13,B39)=1,"OK","ERROR")</x:f>
        <x:v>OK</x:v>
      </x:c>
    </x:row>
    <x:row r="40">
      <x:c r="A40" s="8" t="str">
        <x:v>ITM-000039</x:v>
      </x:c>
      <x:c r="B40" s="8" t="str">
        <x:v>HUB-MAD-003</x:v>
      </x:c>
      <x:c r="C40" s="8" t="str">
        <x:v>Mochila de trekking 50L</x:v>
      </x:c>
      <x:c r="D40" s="8" t="str">
        <x:v>mochila-de-trekking-50l-itm-000039</x:v>
      </x:c>
      <x:c r="E40" s="8" t="str">
        <x:v>outdoor</x:v>
      </x:c>
      <x:c r="F40" s="8" t="str">
        <x:v>Mochila de trekking 50L revisado por el equipo de Nodo Palos de Moguer, con accesorios básicos y guía de uso incluida.</x:v>
      </x:c>
      <x:c r="G40" s="8" t="str">
        <x:v>good</x:v>
      </x:c>
      <x:c r="H40" s="8" t="str">
        <x:v>available</x:v>
      </x:c>
      <x:c r="I40" s="23" t="n">
        <x:v>20</x:v>
      </x:c>
      <x:c r="J40" s="8" t="n">
        <x:v>6</x:v>
      </x:c>
      <x:c r="K40" s="23" t="n">
        <x:v>201</x:v>
      </x:c>
      <x:c r="L40" s="24" t="n">
        <x:v>8.1</x:v>
      </x:c>
      <x:c r="M40" s="8" t="str">
        <x:v>outdoor|arganzuela|good</x:v>
      </x:c>
      <x:c r="N40" s="25" t="str">
        <x:v>2025-01-23</x:v>
      </x:c>
      <x:c r="O40" s="8" t="str">
        <x:f>IF(COUNTIF('Centros'!$A$2:$A$13,B40)=1,"OK","ERROR")</x:f>
        <x:v>OK</x:v>
      </x:c>
    </x:row>
    <x:row r="41">
      <x:c r="A41" s="8" t="str">
        <x:v>ITM-000040</x:v>
      </x:c>
      <x:c r="B41" s="8" t="str">
        <x:v>HUB-MAD-004</x:v>
      </x:c>
      <x:c r="C41" s="8" t="str">
        <x:v>Carrito de carga plegable</x:v>
      </x:c>
      <x:c r="D41" s="8" t="str">
        <x:v>carrito-de-carga-plegable-itm-000040</x:v>
      </x:c>
      <x:c r="E41" s="8" t="str">
        <x:v>mobility</x:v>
      </x:c>
      <x:c r="F41" s="8" t="str">
        <x:v>Carrito de carga plegable revisado por el equipo de Nodo Trafalgar, con accesorios básicos y guía de uso incluida.</x:v>
      </x:c>
      <x:c r="G41" s="8" t="str">
        <x:v>fair</x:v>
      </x:c>
      <x:c r="H41" s="8" t="str">
        <x:v>available</x:v>
      </x:c>
      <x:c r="I41" s="23" t="n">
        <x:v>30</x:v>
      </x:c>
      <x:c r="J41" s="8" t="n">
        <x:v>7</x:v>
      </x:c>
      <x:c r="K41" s="23" t="n">
        <x:v>218</x:v>
      </x:c>
      <x:c r="L41" s="24" t="n">
        <x:v>9.4</x:v>
      </x:c>
      <x:c r="M41" s="8" t="str">
        <x:v>mobility|chamberí|fair</x:v>
      </x:c>
      <x:c r="N41" s="25" t="str">
        <x:v>2025-01-26</x:v>
      </x:c>
      <x:c r="O41" s="8" t="str">
        <x:f>IF(COUNTIF('Centros'!$A$2:$A$13,B41)=1,"OK","ERROR")</x:f>
        <x:v>OK</x:v>
      </x:c>
    </x:row>
    <x:row r="42">
      <x:c r="A42" s="8" t="str">
        <x:v>ITM-000041</x:v>
      </x:c>
      <x:c r="B42" s="8" t="str">
        <x:v>HUB-MAD-005</x:v>
      </x:c>
      <x:c r="C42" s="8" t="str">
        <x:v>Altavoz autoamplificado</x:v>
      </x:c>
      <x:c r="D42" s="8" t="str">
        <x:v>altavoz-autoamplificado-itm-000041</x:v>
      </x:c>
      <x:c r="E42" s="8" t="str">
        <x:v>events</x:v>
      </x:c>
      <x:c r="F42" s="8" t="str">
        <x:v>Altavoz autoamplificado revisado por el equipo de Nodo Bellas Vistas, con accesorios básicos y guía de uso incluida.</x:v>
      </x:c>
      <x:c r="G42" s="8" t="str">
        <x:v>excellent</x:v>
      </x:c>
      <x:c r="H42" s="8" t="str">
        <x:v>available</x:v>
      </x:c>
      <x:c r="I42" s="23" t="n">
        <x:v>0</x:v>
      </x:c>
      <x:c r="J42" s="8" t="n">
        <x:v>3</x:v>
      </x:c>
      <x:c r="K42" s="23" t="n">
        <x:v>235</x:v>
      </x:c>
      <x:c r="L42" s="24" t="n">
        <x:v>2.2</x:v>
      </x:c>
      <x:c r="M42" s="8" t="str">
        <x:v>events|tetuán|excellent</x:v>
      </x:c>
      <x:c r="N42" s="25" t="str">
        <x:v>2025-01-29</x:v>
      </x:c>
      <x:c r="O42" s="8" t="str">
        <x:f>IF(COUNTIF('Centros'!$A$2:$A$13,B42)=1,"OK","ERROR")</x:f>
        <x:v>OK</x:v>
      </x:c>
    </x:row>
    <x:row r="43">
      <x:c r="A43" s="8" t="str">
        <x:v>ITM-000042</x:v>
      </x:c>
      <x:c r="B43" s="8" t="str">
        <x:v>HUB-MAD-006</x:v>
      </x:c>
      <x:c r="C43" s="8" t="str">
        <x:v>Kit de podcast</x:v>
      </x:c>
      <x:c r="D43" s="8" t="str">
        <x:v>kit-de-podcast-itm-000042</x:v>
      </x:c>
      <x:c r="E43" s="8" t="str">
        <x:v>technology</x:v>
      </x:c>
      <x:c r="F43" s="8" t="str">
        <x:v>Kit de podcast revisado por el equipo de Nodo Opañel, con accesorios básicos y guía de uso incluida.</x:v>
      </x:c>
      <x:c r="G43" s="8" t="str">
        <x:v>good</x:v>
      </x:c>
      <x:c r="H43" s="8" t="str">
        <x:v>available</x:v>
      </x:c>
      <x:c r="I43" s="23" t="n">
        <x:v>10</x:v>
      </x:c>
      <x:c r="J43" s="8" t="n">
        <x:v>4</x:v>
      </x:c>
      <x:c r="K43" s="23" t="n">
        <x:v>252</x:v>
      </x:c>
      <x:c r="L43" s="24" t="n">
        <x:v>3.5</x:v>
      </x:c>
      <x:c r="M43" s="8" t="str">
        <x:v>technology|carabanchel|good</x:v>
      </x:c>
      <x:c r="N43" s="25" t="str">
        <x:v>2025-02-01</x:v>
      </x:c>
      <x:c r="O43" s="8" t="str">
        <x:f>IF(COUNTIF('Centros'!$A$2:$A$13,B43)=1,"OK","ERROR")</x:f>
        <x:v>OK</x:v>
      </x:c>
    </x:row>
    <x:row r="44">
      <x:c r="A44" s="8" t="str">
        <x:v>ITM-000043</x:v>
      </x:c>
      <x:c r="B44" s="8" t="str">
        <x:v>HUB-MAD-007</x:v>
      </x:c>
      <x:c r="C44" s="8" t="str">
        <x:v>Caja de herramientas</x:v>
      </x:c>
      <x:c r="D44" s="8" t="str">
        <x:v>caja-de-herramientas-itm-000043</x:v>
      </x:c>
      <x:c r="E44" s="8" t="str">
        <x:v>tools</x:v>
      </x:c>
      <x:c r="F44" s="8" t="str">
        <x:v>Caja de herramientas revisado por el equipo de Nodo Almendrales, con accesorios básicos y guía de uso incluida.</x:v>
      </x:c>
      <x:c r="G44" s="8" t="str">
        <x:v>good</x:v>
      </x:c>
      <x:c r="H44" s="8" t="str">
        <x:v>available</x:v>
      </x:c>
      <x:c r="I44" s="23" t="n">
        <x:v>20</x:v>
      </x:c>
      <x:c r="J44" s="8" t="n">
        <x:v>5</x:v>
      </x:c>
      <x:c r="K44" s="23" t="n">
        <x:v>269</x:v>
      </x:c>
      <x:c r="L44" s="24" t="n">
        <x:v>4.8</x:v>
      </x:c>
      <x:c r="M44" s="8" t="str">
        <x:v>tools|usera|good</x:v>
      </x:c>
      <x:c r="N44" s="25" t="str">
        <x:v>2025-02-04</x:v>
      </x:c>
      <x:c r="O44" s="8" t="str">
        <x:f>IF(COUNTIF('Centros'!$A$2:$A$13,B44)=1,"OK","ERROR")</x:f>
        <x:v>OK</x:v>
      </x:c>
    </x:row>
    <x:row r="45">
      <x:c r="A45" s="8" t="str">
        <x:v>ITM-000044</x:v>
      </x:c>
      <x:c r="B45" s="8" t="str">
        <x:v>HUB-MAD-008</x:v>
      </x:c>
      <x:c r="C45" s="8" t="str">
        <x:v>Olla de gran capacidad</x:v>
      </x:c>
      <x:c r="D45" s="8" t="str">
        <x:v>olla-de-gran-capacidad-itm-000044</x:v>
      </x:c>
      <x:c r="E45" s="8" t="str">
        <x:v>kitchen</x:v>
      </x:c>
      <x:c r="F45" s="8" t="str">
        <x:v>Olla de gran capacidad revisado por el equipo de Nodo Numancia, con accesorios básicos y guía de uso incluida.</x:v>
      </x:c>
      <x:c r="G45" s="8" t="str">
        <x:v>fair</x:v>
      </x:c>
      <x:c r="H45" s="8" t="str">
        <x:v>available</x:v>
      </x:c>
      <x:c r="I45" s="23" t="n">
        <x:v>30</x:v>
      </x:c>
      <x:c r="J45" s="8" t="n">
        <x:v>6</x:v>
      </x:c>
      <x:c r="K45" s="23" t="n">
        <x:v>46</x:v>
      </x:c>
      <x:c r="L45" s="24" t="n">
        <x:v>6.1</x:v>
      </x:c>
      <x:c r="M45" s="8" t="str">
        <x:v>kitchen|puente de vallecas|fair</x:v>
      </x:c>
      <x:c r="N45" s="25" t="str">
        <x:v>2025-02-07</x:v>
      </x:c>
      <x:c r="O45" s="8" t="str">
        <x:f>IF(COUNTIF('Centros'!$A$2:$A$13,B45)=1,"OK","ERROR")</x:f>
        <x:v>OK</x:v>
      </x:c>
    </x:row>
    <x:row r="46">
      <x:c r="A46" s="8" t="str">
        <x:v>ITM-000045</x:v>
      </x:c>
      <x:c r="B46" s="8" t="str">
        <x:v>HUB-MAD-009</x:v>
      </x:c>
      <x:c r="C46" s="8" t="str">
        <x:v>Mesa de camping</x:v>
      </x:c>
      <x:c r="D46" s="8" t="str">
        <x:v>mesa-de-camping-itm-000045</x:v>
      </x:c>
      <x:c r="E46" s="8" t="str">
        <x:v>outdoor</x:v>
      </x:c>
      <x:c r="F46" s="8" t="str">
        <x:v>Mesa de camping revisado por el equipo de Nodo Pacífico, con accesorios básicos y guía de uso incluida.</x:v>
      </x:c>
      <x:c r="G46" s="8" t="str">
        <x:v>excellent</x:v>
      </x:c>
      <x:c r="H46" s="8" t="str">
        <x:v>available</x:v>
      </x:c>
      <x:c r="I46" s="23" t="n">
        <x:v>0</x:v>
      </x:c>
      <x:c r="J46" s="8" t="n">
        <x:v>7</x:v>
      </x:c>
      <x:c r="K46" s="23" t="n">
        <x:v>63</x:v>
      </x:c>
      <x:c r="L46" s="24" t="n">
        <x:v>7.4</x:v>
      </x:c>
      <x:c r="M46" s="8" t="str">
        <x:v>outdoor|retiro|excellent</x:v>
      </x:c>
      <x:c r="N46" s="25" t="str">
        <x:v>2025-02-10</x:v>
      </x:c>
      <x:c r="O46" s="8" t="str">
        <x:f>IF(COUNTIF('Centros'!$A$2:$A$13,B46)=1,"OK","ERROR")</x:f>
        <x:v>OK</x:v>
      </x:c>
    </x:row>
    <x:row r="47">
      <x:c r="A47" s="8" t="str">
        <x:v>ITM-000046</x:v>
      </x:c>
      <x:c r="B47" s="8" t="str">
        <x:v>HUB-MAD-010</x:v>
      </x:c>
      <x:c r="C47" s="8" t="str">
        <x:v>Silla infantil para bici</x:v>
      </x:c>
      <x:c r="D47" s="8" t="str">
        <x:v>silla-infantil-para-bici-itm-000046</x:v>
      </x:c>
      <x:c r="E47" s="8" t="str">
        <x:v>mobility</x:v>
      </x:c>
      <x:c r="F47" s="8" t="str">
        <x:v>Silla infantil para bici revisado por el equipo de Nodo Canillas, con accesorios básicos y guía de uso incluida.</x:v>
      </x:c>
      <x:c r="G47" s="8" t="str">
        <x:v>good</x:v>
      </x:c>
      <x:c r="H47" s="8" t="str">
        <x:v>available</x:v>
      </x:c>
      <x:c r="I47" s="23" t="n">
        <x:v>10</x:v>
      </x:c>
      <x:c r="J47" s="8" t="n">
        <x:v>3</x:v>
      </x:c>
      <x:c r="K47" s="23" t="n">
        <x:v>80</x:v>
      </x:c>
      <x:c r="L47" s="24" t="n">
        <x:v>8.7</x:v>
      </x:c>
      <x:c r="M47" s="8" t="str">
        <x:v>mobility|hortaleza|good</x:v>
      </x:c>
      <x:c r="N47" s="25" t="str">
        <x:v>2025-02-13</x:v>
      </x:c>
      <x:c r="O47" s="8" t="str">
        <x:f>IF(COUNTIF('Centros'!$A$2:$A$13,B47)=1,"OK","ERROR")</x:f>
        <x:v>OK</x:v>
      </x:c>
    </x:row>
    <x:row r="48">
      <x:c r="A48" s="8" t="str">
        <x:v>ITM-000047</x:v>
      </x:c>
      <x:c r="B48" s="8" t="str">
        <x:v>HUB-MAD-011</x:v>
      </x:c>
      <x:c r="C48" s="8" t="str">
        <x:v>Guirnalda exterior</x:v>
      </x:c>
      <x:c r="D48" s="8" t="str">
        <x:v>guirnalda-exterior-itm-000047</x:v>
      </x:c>
      <x:c r="E48" s="8" t="str">
        <x:v>events</x:v>
      </x:c>
      <x:c r="F48" s="8" t="str">
        <x:v>Guirnalda exterior revisado por el equipo de Nodo Puerta del Ángel, con accesorios básicos y guía de uso incluida.</x:v>
      </x:c>
      <x:c r="G48" s="8" t="str">
        <x:v>good</x:v>
      </x:c>
      <x:c r="H48" s="8" t="str">
        <x:v>available</x:v>
      </x:c>
      <x:c r="I48" s="23" t="n">
        <x:v>20</x:v>
      </x:c>
      <x:c r="J48" s="8" t="n">
        <x:v>4</x:v>
      </x:c>
      <x:c r="K48" s="23" t="n">
        <x:v>97</x:v>
      </x:c>
      <x:c r="L48" s="24" t="n">
        <x:v>1.5</x:v>
      </x:c>
      <x:c r="M48" s="8" t="str">
        <x:v>events|latina|good</x:v>
      </x:c>
      <x:c r="N48" s="25" t="str">
        <x:v>2025-02-16</x:v>
      </x:c>
      <x:c r="O48" s="8" t="str">
        <x:f>IF(COUNTIF('Centros'!$A$2:$A$13,B48)=1,"OK","ERROR")</x:f>
        <x:v>OK</x:v>
      </x:c>
    </x:row>
    <x:row r="49">
      <x:c r="A49" s="8" t="str">
        <x:v>ITM-000048</x:v>
      </x:c>
      <x:c r="B49" s="8" t="str">
        <x:v>HUB-MAD-012</x:v>
      </x:c>
      <x:c r="C49" s="8" t="str">
        <x:v>Cámara instantánea</x:v>
      </x:c>
      <x:c r="D49" s="8" t="str">
        <x:v>camara-instantanea-itm-000048</x:v>
      </x:c>
      <x:c r="E49" s="8" t="str">
        <x:v>technology</x:v>
      </x:c>
      <x:c r="F49" s="8" t="str">
        <x:v>Cámara instantánea revisado por el equipo de Nodo Argüelles, con accesorios básicos y guía de uso incluida.</x:v>
      </x:c>
      <x:c r="G49" s="8" t="str">
        <x:v>fair</x:v>
      </x:c>
      <x:c r="H49" s="8" t="str">
        <x:v>retired</x:v>
      </x:c>
      <x:c r="I49" s="23" t="n">
        <x:v>0</x:v>
      </x:c>
      <x:c r="J49" s="8" t="n">
        <x:v>5</x:v>
      </x:c>
      <x:c r="K49" s="23" t="n">
        <x:v>114</x:v>
      </x:c>
      <x:c r="L49" s="24" t="n">
        <x:v>2.8</x:v>
      </x:c>
      <x:c r="M49" s="8" t="str">
        <x:v>technology|moncloa-aravaca|fair</x:v>
      </x:c>
      <x:c r="N49" s="25" t="str">
        <x:v>2025-02-19</x:v>
      </x:c>
      <x:c r="O49" s="8" t="str">
        <x:f>IF(COUNTIF('Centros'!$A$2:$A$13,B49)=1,"OK","ERROR")</x:f>
        <x:v>OK</x:v>
      </x:c>
    </x:row>
    <x:row r="50">
      <x:c r="A50" s="8" t="str">
        <x:v>ITM-000049</x:v>
      </x:c>
      <x:c r="B50" s="8" t="str">
        <x:v>HUB-MAD-001</x:v>
      </x:c>
      <x:c r="C50" s="8" t="str">
        <x:v>Hidrolimpiadora compacta</x:v>
      </x:c>
      <x:c r="D50" s="8" t="str">
        <x:v>hidrolimpiadora-compacta-itm-000049</x:v>
      </x:c>
      <x:c r="E50" s="8" t="str">
        <x:v>tools</x:v>
      </x:c>
      <x:c r="F50" s="8" t="str">
        <x:v>Hidrolimpiadora compacta revisado por el equipo de Nodo Malasaña, con accesorios básicos y guía de uso incluida.</x:v>
      </x:c>
      <x:c r="G50" s="8" t="str">
        <x:v>excellent</x:v>
      </x:c>
      <x:c r="H50" s="8" t="str">
        <x:v>available</x:v>
      </x:c>
      <x:c r="I50" s="23" t="n">
        <x:v>0</x:v>
      </x:c>
      <x:c r="J50" s="8" t="n">
        <x:v>6</x:v>
      </x:c>
      <x:c r="K50" s="23" t="n">
        <x:v>131</x:v>
      </x:c>
      <x:c r="L50" s="24" t="n">
        <x:v>4.1</x:v>
      </x:c>
      <x:c r="M50" s="8" t="str">
        <x:v>tools|centro|excellent</x:v>
      </x:c>
      <x:c r="N50" s="25" t="str">
        <x:v>2025-02-22</x:v>
      </x:c>
      <x:c r="O50" s="8" t="str">
        <x:f>IF(COUNTIF('Centros'!$A$2:$A$13,B50)=1,"OK","ERROR")</x:f>
        <x:v>OK</x:v>
      </x:c>
    </x:row>
    <x:row r="51">
      <x:c r="A51" s="8" t="str">
        <x:v>ITM-000050</x:v>
      </x:c>
      <x:c r="B51" s="8" t="str">
        <x:v>HUB-MAD-002</x:v>
      </x:c>
      <x:c r="C51" s="8" t="str">
        <x:v>Máquina de pasta</x:v>
      </x:c>
      <x:c r="D51" s="8" t="str">
        <x:v>maquina-de-pasta-itm-000050</x:v>
      </x:c>
      <x:c r="E51" s="8" t="str">
        <x:v>kitchen</x:v>
      </x:c>
      <x:c r="F51" s="8" t="str">
        <x:v>Máquina de pasta revisado por el equipo de Nodo Lavapiés, con accesorios básicos y guía de uso incluida.</x:v>
      </x:c>
      <x:c r="G51" s="8" t="str">
        <x:v>good</x:v>
      </x:c>
      <x:c r="H51" s="8" t="str">
        <x:v>available</x:v>
      </x:c>
      <x:c r="I51" s="23" t="n">
        <x:v>10</x:v>
      </x:c>
      <x:c r="J51" s="8" t="n">
        <x:v>7</x:v>
      </x:c>
      <x:c r="K51" s="23" t="n">
        <x:v>148</x:v>
      </x:c>
      <x:c r="L51" s="24" t="n">
        <x:v>5.4</x:v>
      </x:c>
      <x:c r="M51" s="8" t="str">
        <x:v>kitchen|centro|good</x:v>
      </x:c>
      <x:c r="N51" s="25" t="str">
        <x:v>2025-02-25</x:v>
      </x:c>
      <x:c r="O51" s="8" t="str">
        <x:f>IF(COUNTIF('Centros'!$A$2:$A$13,B51)=1,"OK","ERROR")</x:f>
        <x:v>OK</x:v>
      </x:c>
    </x:row>
    <x:row r="52">
      <x:c r="A52" s="8" t="str">
        <x:v>ITM-000051</x:v>
      </x:c>
      <x:c r="B52" s="8" t="str">
        <x:v>HUB-MAD-003</x:v>
      </x:c>
      <x:c r="C52" s="8" t="str">
        <x:v>Prismáticos 10x42</x:v>
      </x:c>
      <x:c r="D52" s="8" t="str">
        <x:v>prismaticos-10x42-itm-000051</x:v>
      </x:c>
      <x:c r="E52" s="8" t="str">
        <x:v>outdoor</x:v>
      </x:c>
      <x:c r="F52" s="8" t="str">
        <x:v>Prismáticos 10x42 revisado por el equipo de Nodo Palos de Moguer, con accesorios básicos y guía de uso incluida.</x:v>
      </x:c>
      <x:c r="G52" s="8" t="str">
        <x:v>good</x:v>
      </x:c>
      <x:c r="H52" s="8" t="str">
        <x:v>available</x:v>
      </x:c>
      <x:c r="I52" s="23" t="n">
        <x:v>20</x:v>
      </x:c>
      <x:c r="J52" s="8" t="n">
        <x:v>3</x:v>
      </x:c>
      <x:c r="K52" s="23" t="n">
        <x:v>165</x:v>
      </x:c>
      <x:c r="L52" s="24" t="n">
        <x:v>6.7</x:v>
      </x:c>
      <x:c r="M52" s="8" t="str">
        <x:v>outdoor|arganzuela|good</x:v>
      </x:c>
      <x:c r="N52" s="25" t="str">
        <x:v>2025-02-28</x:v>
      </x:c>
      <x:c r="O52" s="8" t="str">
        <x:f>IF(COUNTIF('Centros'!$A$2:$A$13,B52)=1,"OK","ERROR")</x:f>
        <x:v>OK</x:v>
      </x:c>
    </x:row>
    <x:row r="53">
      <x:c r="A53" s="8" t="str">
        <x:v>ITM-000052</x:v>
      </x:c>
      <x:c r="B53" s="8" t="str">
        <x:v>HUB-MAD-004</x:v>
      </x:c>
      <x:c r="C53" s="8" t="str">
        <x:v>Bomba de pie</x:v>
      </x:c>
      <x:c r="D53" s="8" t="str">
        <x:v>bomba-de-pie-itm-000052</x:v>
      </x:c>
      <x:c r="E53" s="8" t="str">
        <x:v>mobility</x:v>
      </x:c>
      <x:c r="F53" s="8" t="str">
        <x:v>Bomba de pie revisado por el equipo de Nodo Trafalgar, con accesorios básicos y guía de uso incluida.</x:v>
      </x:c>
      <x:c r="G53" s="8" t="str">
        <x:v>fair</x:v>
      </x:c>
      <x:c r="H53" s="8" t="str">
        <x:v>available</x:v>
      </x:c>
      <x:c r="I53" s="23" t="n">
        <x:v>30</x:v>
      </x:c>
      <x:c r="J53" s="8" t="n">
        <x:v>4</x:v>
      </x:c>
      <x:c r="K53" s="23" t="n">
        <x:v>182</x:v>
      </x:c>
      <x:c r="L53" s="24" t="n">
        <x:v>8</x:v>
      </x:c>
      <x:c r="M53" s="8" t="str">
        <x:v>mobility|chamberí|fair</x:v>
      </x:c>
      <x:c r="N53" s="25" t="str">
        <x:v>2025-03-03</x:v>
      </x:c>
      <x:c r="O53" s="8" t="str">
        <x:f>IF(COUNTIF('Centros'!$A$2:$A$13,B53)=1,"OK","ERROR")</x:f>
        <x:v>OK</x:v>
      </x:c>
    </x:row>
    <x:row r="54">
      <x:c r="A54" s="8" t="str">
        <x:v>ITM-000053</x:v>
      </x:c>
      <x:c r="B54" s="8" t="str">
        <x:v>HUB-MAD-005</x:v>
      </x:c>
      <x:c r="C54" s="8" t="str">
        <x:v>Carpa plegable 3x3</x:v>
      </x:c>
      <x:c r="D54" s="8" t="str">
        <x:v>carpa-plegable-3x3-itm-000053</x:v>
      </x:c>
      <x:c r="E54" s="8" t="str">
        <x:v>events</x:v>
      </x:c>
      <x:c r="F54" s="8" t="str">
        <x:v>Carpa plegable 3x3 revisado por el equipo de Nodo Bellas Vistas, con accesorios básicos y guía de uso incluida.</x:v>
      </x:c>
      <x:c r="G54" s="8" t="str">
        <x:v>excellent</x:v>
      </x:c>
      <x:c r="H54" s="8" t="str">
        <x:v>available</x:v>
      </x:c>
      <x:c r="I54" s="23" t="n">
        <x:v>0</x:v>
      </x:c>
      <x:c r="J54" s="8" t="n">
        <x:v>5</x:v>
      </x:c>
      <x:c r="K54" s="23" t="n">
        <x:v>199</x:v>
      </x:c>
      <x:c r="L54" s="24" t="n">
        <x:v>9.3</x:v>
      </x:c>
      <x:c r="M54" s="8" t="str">
        <x:v>events|tetuán|excellent</x:v>
      </x:c>
      <x:c r="N54" s="25" t="str">
        <x:v>2025-03-06</x:v>
      </x:c>
      <x:c r="O54" s="8" t="str">
        <x:f>IF(COUNTIF('Centros'!$A$2:$A$13,B54)=1,"OK","ERROR")</x:f>
        <x:v>OK</x:v>
      </x:c>
    </x:row>
    <x:row r="55">
      <x:c r="A55" s="8" t="str">
        <x:v>ITM-000054</x:v>
      </x:c>
      <x:c r="B55" s="8" t="str">
        <x:v>HUB-MAD-006</x:v>
      </x:c>
      <x:c r="C55" s="8" t="str">
        <x:v>Medidor láser</x:v>
      </x:c>
      <x:c r="D55" s="8" t="str">
        <x:v>medidor-laser-itm-000054</x:v>
      </x:c>
      <x:c r="E55" s="8" t="str">
        <x:v>technology</x:v>
      </x:c>
      <x:c r="F55" s="8" t="str">
        <x:v>Medidor láser revisado por el equipo de Nodo Opañel, con accesorios básicos y guía de uso incluida.</x:v>
      </x:c>
      <x:c r="G55" s="8" t="str">
        <x:v>good</x:v>
      </x:c>
      <x:c r="H55" s="8" t="str">
        <x:v>available</x:v>
      </x:c>
      <x:c r="I55" s="23" t="n">
        <x:v>10</x:v>
      </x:c>
      <x:c r="J55" s="8" t="n">
        <x:v>6</x:v>
      </x:c>
      <x:c r="K55" s="23" t="n">
        <x:v>216</x:v>
      </x:c>
      <x:c r="L55" s="24" t="n">
        <x:v>2.1</x:v>
      </x:c>
      <x:c r="M55" s="8" t="str">
        <x:v>technology|carabanchel|good</x:v>
      </x:c>
      <x:c r="N55" s="25" t="str">
        <x:v>2025-03-09</x:v>
      </x:c>
      <x:c r="O55" s="8" t="str">
        <x:f>IF(COUNTIF('Centros'!$A$2:$A$13,B55)=1,"OK","ERROR")</x:f>
        <x:v>OK</x:v>
      </x:c>
    </x:row>
    <x:row r="56">
      <x:c r="A56" s="8" t="str">
        <x:v>ITM-000055</x:v>
      </x:c>
      <x:c r="B56" s="8" t="str">
        <x:v>HUB-MAD-007</x:v>
      </x:c>
      <x:c r="C56" s="8" t="str">
        <x:v>Sierra de calar</x:v>
      </x:c>
      <x:c r="D56" s="8" t="str">
        <x:v>sierra-de-calar-itm-000055</x:v>
      </x:c>
      <x:c r="E56" s="8" t="str">
        <x:v>tools</x:v>
      </x:c>
      <x:c r="F56" s="8" t="str">
        <x:v>Sierra de calar revisado por el equipo de Nodo Almendrales, con accesorios básicos y guía de uso incluida.</x:v>
      </x:c>
      <x:c r="G56" s="8" t="str">
        <x:v>good</x:v>
      </x:c>
      <x:c r="H56" s="8" t="str">
        <x:v>available</x:v>
      </x:c>
      <x:c r="I56" s="23" t="n">
        <x:v>20</x:v>
      </x:c>
      <x:c r="J56" s="8" t="n">
        <x:v>7</x:v>
      </x:c>
      <x:c r="K56" s="23" t="n">
        <x:v>233</x:v>
      </x:c>
      <x:c r="L56" s="24" t="n">
        <x:v>3.4</x:v>
      </x:c>
      <x:c r="M56" s="8" t="str">
        <x:v>tools|usera|good</x:v>
      </x:c>
      <x:c r="N56" s="25" t="str">
        <x:v>2025-03-12</x:v>
      </x:c>
      <x:c r="O56" s="8" t="str">
        <x:f>IF(COUNTIF('Centros'!$A$2:$A$13,B56)=1,"OK","ERROR")</x:f>
        <x:v>OK</x:v>
      </x:c>
    </x:row>
    <x:row r="57">
      <x:c r="A57" s="8" t="str">
        <x:v>ITM-000056</x:v>
      </x:c>
      <x:c r="B57" s="8" t="str">
        <x:v>HUB-MAD-008</x:v>
      </x:c>
      <x:c r="C57" s="8" t="str">
        <x:v>Batidora de vaso</x:v>
      </x:c>
      <x:c r="D57" s="8" t="str">
        <x:v>batidora-de-vaso-itm-000056</x:v>
      </x:c>
      <x:c r="E57" s="8" t="str">
        <x:v>kitchen</x:v>
      </x:c>
      <x:c r="F57" s="8" t="str">
        <x:v>Batidora de vaso revisado por el equipo de Nodo Numancia, con accesorios básicos y guía de uso incluida.</x:v>
      </x:c>
      <x:c r="G57" s="8" t="str">
        <x:v>fair</x:v>
      </x:c>
      <x:c r="H57" s="8" t="str">
        <x:v>available</x:v>
      </x:c>
      <x:c r="I57" s="23" t="n">
        <x:v>30</x:v>
      </x:c>
      <x:c r="J57" s="8" t="n">
        <x:v>3</x:v>
      </x:c>
      <x:c r="K57" s="23" t="n">
        <x:v>250</x:v>
      </x:c>
      <x:c r="L57" s="24" t="n">
        <x:v>4.7</x:v>
      </x:c>
      <x:c r="M57" s="8" t="str">
        <x:v>kitchen|puente de vallecas|fair</x:v>
      </x:c>
      <x:c r="N57" s="25" t="str">
        <x:v>2025-03-15</x:v>
      </x:c>
      <x:c r="O57" s="8" t="str">
        <x:f>IF(COUNTIF('Centros'!$A$2:$A$13,B57)=1,"OK","ERROR")</x:f>
        <x:v>OK</x:v>
      </x:c>
    </x:row>
    <x:row r="58">
      <x:c r="A58" s="8" t="str">
        <x:v>ITM-000057</x:v>
      </x:c>
      <x:c r="B58" s="8" t="str">
        <x:v>HUB-MAD-009</x:v>
      </x:c>
      <x:c r="C58" s="8" t="str">
        <x:v>Saco de dormir</x:v>
      </x:c>
      <x:c r="D58" s="8" t="str">
        <x:v>saco-de-dormir-itm-000057</x:v>
      </x:c>
      <x:c r="E58" s="8" t="str">
        <x:v>outdoor</x:v>
      </x:c>
      <x:c r="F58" s="8" t="str">
        <x:v>Saco de dormir revisado por el equipo de Nodo Pacífico, con accesorios básicos y guía de uso incluida.</x:v>
      </x:c>
      <x:c r="G58" s="8" t="str">
        <x:v>excellent</x:v>
      </x:c>
      <x:c r="H58" s="8" t="str">
        <x:v>available</x:v>
      </x:c>
      <x:c r="I58" s="23" t="n">
        <x:v>0</x:v>
      </x:c>
      <x:c r="J58" s="8" t="n">
        <x:v>4</x:v>
      </x:c>
      <x:c r="K58" s="23" t="n">
        <x:v>267</x:v>
      </x:c>
      <x:c r="L58" s="24" t="n">
        <x:v>6</x:v>
      </x:c>
      <x:c r="M58" s="8" t="str">
        <x:v>outdoor|retiro|excellent</x:v>
      </x:c>
      <x:c r="N58" s="25" t="str">
        <x:v>2025-03-18</x:v>
      </x:c>
      <x:c r="O58" s="8" t="str">
        <x:f>IF(COUNTIF('Centros'!$A$2:$A$13,B58)=1,"OK","ERROR")</x:f>
        <x:v>OK</x:v>
      </x:c>
    </x:row>
    <x:row r="59">
      <x:c r="A59" s="8" t="str">
        <x:v>ITM-000058</x:v>
      </x:c>
      <x:c r="B59" s="8" t="str">
        <x:v>HUB-MAD-010</x:v>
      </x:c>
      <x:c r="C59" s="8" t="str">
        <x:v>Kit reparación de bici</x:v>
      </x:c>
      <x:c r="D59" s="8" t="str">
        <x:v>kit-reparacion-de-bici-itm-000058</x:v>
      </x:c>
      <x:c r="E59" s="8" t="str">
        <x:v>mobility</x:v>
      </x:c>
      <x:c r="F59" s="8" t="str">
        <x:v>Kit reparación de bici revisado por el equipo de Nodo Canillas, con accesorios básicos y guía de uso incluida.</x:v>
      </x:c>
      <x:c r="G59" s="8" t="str">
        <x:v>good</x:v>
      </x:c>
      <x:c r="H59" s="8" t="str">
        <x:v>available</x:v>
      </x:c>
      <x:c r="I59" s="23" t="n">
        <x:v>10</x:v>
      </x:c>
      <x:c r="J59" s="8" t="n">
        <x:v>5</x:v>
      </x:c>
      <x:c r="K59" s="23" t="n">
        <x:v>44</x:v>
      </x:c>
      <x:c r="L59" s="24" t="n">
        <x:v>7.3</x:v>
      </x:c>
      <x:c r="M59" s="8" t="str">
        <x:v>mobility|hortaleza|good</x:v>
      </x:c>
      <x:c r="N59" s="25" t="str">
        <x:v>2025-03-21</x:v>
      </x:c>
      <x:c r="O59" s="8" t="str">
        <x:f>IF(COUNTIF('Centros'!$A$2:$A$13,B59)=1,"OK","ERROR")</x:f>
        <x:v>OK</x:v>
      </x:c>
    </x:row>
    <x:row r="60">
      <x:c r="A60" s="8" t="str">
        <x:v>ITM-000059</x:v>
      </x:c>
      <x:c r="B60" s="8" t="str">
        <x:v>HUB-MAD-011</x:v>
      </x:c>
      <x:c r="C60" s="8" t="str">
        <x:v>Pack de 30 sillas</x:v>
      </x:c>
      <x:c r="D60" s="8" t="str">
        <x:v>pack-de-30-sillas-itm-000059</x:v>
      </x:c>
      <x:c r="E60" s="8" t="str">
        <x:v>events</x:v>
      </x:c>
      <x:c r="F60" s="8" t="str">
        <x:v>Pack de 30 sillas revisado por el equipo de Nodo Puerta del Ángel, con accesorios básicos y guía de uso incluida.</x:v>
      </x:c>
      <x:c r="G60" s="8" t="str">
        <x:v>good</x:v>
      </x:c>
      <x:c r="H60" s="8" t="str">
        <x:v>maintenance</x:v>
      </x:c>
      <x:c r="I60" s="23" t="n">
        <x:v>0</x:v>
      </x:c>
      <x:c r="J60" s="8" t="n">
        <x:v>6</x:v>
      </x:c>
      <x:c r="K60" s="23" t="n">
        <x:v>61</x:v>
      </x:c>
      <x:c r="L60" s="24" t="n">
        <x:v>8.6</x:v>
      </x:c>
      <x:c r="M60" s="8" t="str">
        <x:v>events|latina|good</x:v>
      </x:c>
      <x:c r="N60" s="25" t="str">
        <x:v>2025-03-24</x:v>
      </x:c>
      <x:c r="O60" s="8" t="str">
        <x:f>IF(COUNTIF('Centros'!$A$2:$A$13,B60)=1,"OK","ERROR")</x:f>
        <x:v>OK</x:v>
      </x:c>
    </x:row>
    <x:row r="61">
      <x:c r="A61" s="8" t="str">
        <x:v>ITM-000060</x:v>
      </x:c>
      <x:c r="B61" s="8" t="str">
        <x:v>HUB-MAD-012</x:v>
      </x:c>
      <x:c r="C61" s="8" t="str">
        <x:v>Tablet gráfica</x:v>
      </x:c>
      <x:c r="D61" s="8" t="str">
        <x:v>tablet-grafica-itm-000060</x:v>
      </x:c>
      <x:c r="E61" s="8" t="str">
        <x:v>technology</x:v>
      </x:c>
      <x:c r="F61" s="8" t="str">
        <x:v>Tablet gráfica revisado por el equipo de Nodo Argüelles, con accesorios básicos y guía de uso incluida.</x:v>
      </x:c>
      <x:c r="G61" s="8" t="str">
        <x:v>fair</x:v>
      </x:c>
      <x:c r="H61" s="8" t="str">
        <x:v>available</x:v>
      </x:c>
      <x:c r="I61" s="23" t="n">
        <x:v>30</x:v>
      </x:c>
      <x:c r="J61" s="8" t="n">
        <x:v>7</x:v>
      </x:c>
      <x:c r="K61" s="23" t="n">
        <x:v>78</x:v>
      </x:c>
      <x:c r="L61" s="24" t="n">
        <x:v>1.4</x:v>
      </x:c>
      <x:c r="M61" s="8" t="str">
        <x:v>technology|moncloa-aravaca|fair</x:v>
      </x:c>
      <x:c r="N61" s="25" t="str">
        <x:v>2025-03-27</x:v>
      </x:c>
      <x:c r="O61" s="8" t="str">
        <x:f>IF(COUNTIF('Centros'!$A$2:$A$13,B61)=1,"OK","ERROR")</x:f>
        <x:v>OK</x:v>
      </x:c>
    </x:row>
    <x:row r="62">
      <x:c r="A62" s="8" t="str">
        <x:v>ITM-000061</x:v>
      </x:c>
      <x:c r="B62" s="8" t="str">
        <x:v>HUB-MAD-001</x:v>
      </x:c>
      <x:c r="C62" s="8" t="str">
        <x:v>Taladro percutor 18V</x:v>
      </x:c>
      <x:c r="D62" s="8" t="str">
        <x:v>taladro-percutor-18v-itm-000061</x:v>
      </x:c>
      <x:c r="E62" s="8" t="str">
        <x:v>tools</x:v>
      </x:c>
      <x:c r="F62" s="8" t="str">
        <x:v>Taladro percutor 18V revisado por el equipo de Nodo Malasaña, con accesorios básicos y guía de uso incluida.</x:v>
      </x:c>
      <x:c r="G62" s="8" t="str">
        <x:v>excellent</x:v>
      </x:c>
      <x:c r="H62" s="8" t="str">
        <x:v>available</x:v>
      </x:c>
      <x:c r="I62" s="23" t="n">
        <x:v>0</x:v>
      </x:c>
      <x:c r="J62" s="8" t="n">
        <x:v>3</x:v>
      </x:c>
      <x:c r="K62" s="23" t="n">
        <x:v>95</x:v>
      </x:c>
      <x:c r="L62" s="24" t="n">
        <x:v>2.7</x:v>
      </x:c>
      <x:c r="M62" s="8" t="str">
        <x:v>tools|centro|excellent</x:v>
      </x:c>
      <x:c r="N62" s="25" t="str">
        <x:v>2025-03-30</x:v>
      </x:c>
      <x:c r="O62" s="8" t="str">
        <x:f>IF(COUNTIF('Centros'!$A$2:$A$13,B62)=1,"OK","ERROR")</x:f>
        <x:v>OK</x:v>
      </x:c>
    </x:row>
    <x:row r="63">
      <x:c r="A63" s="8" t="str">
        <x:v>ITM-000062</x:v>
      </x:c>
      <x:c r="B63" s="8" t="str">
        <x:v>HUB-MAD-002</x:v>
      </x:c>
      <x:c r="C63" s="8" t="str">
        <x:v>Vajilla para 24 personas</x:v>
      </x:c>
      <x:c r="D63" s="8" t="str">
        <x:v>vajilla-para-24-personas-itm-000062</x:v>
      </x:c>
      <x:c r="E63" s="8" t="str">
        <x:v>kitchen</x:v>
      </x:c>
      <x:c r="F63" s="8" t="str">
        <x:v>Vajilla para 24 personas revisado por el equipo de Nodo Lavapiés, con accesorios básicos y guía de uso incluida.</x:v>
      </x:c>
      <x:c r="G63" s="8" t="str">
        <x:v>good</x:v>
      </x:c>
      <x:c r="H63" s="8" t="str">
        <x:v>available</x:v>
      </x:c>
      <x:c r="I63" s="23" t="n">
        <x:v>10</x:v>
      </x:c>
      <x:c r="J63" s="8" t="n">
        <x:v>4</x:v>
      </x:c>
      <x:c r="K63" s="23" t="n">
        <x:v>112</x:v>
      </x:c>
      <x:c r="L63" s="24" t="n">
        <x:v>4</x:v>
      </x:c>
      <x:c r="M63" s="8" t="str">
        <x:v>kitchen|centro|good</x:v>
      </x:c>
      <x:c r="N63" s="25" t="str">
        <x:v>2025-04-02</x:v>
      </x:c>
      <x:c r="O63" s="8" t="str">
        <x:f>IF(COUNTIF('Centros'!$A$2:$A$13,B63)=1,"OK","ERROR")</x:f>
        <x:v>OK</x:v>
      </x:c>
    </x:row>
    <x:row r="64">
      <x:c r="A64" s="8" t="str">
        <x:v>ITM-000063</x:v>
      </x:c>
      <x:c r="B64" s="8" t="str">
        <x:v>HUB-MAD-003</x:v>
      </x:c>
      <x:c r="C64" s="8" t="str">
        <x:v>Tienda de campaña 3P</x:v>
      </x:c>
      <x:c r="D64" s="8" t="str">
        <x:v>tienda-de-campana-3p-itm-000063</x:v>
      </x:c>
      <x:c r="E64" s="8" t="str">
        <x:v>outdoor</x:v>
      </x:c>
      <x:c r="F64" s="8" t="str">
        <x:v>Tienda de campaña 3P revisado por el equipo de Nodo Palos de Moguer, con accesorios básicos y guía de uso incluida.</x:v>
      </x:c>
      <x:c r="G64" s="8" t="str">
        <x:v>good</x:v>
      </x:c>
      <x:c r="H64" s="8" t="str">
        <x:v>available</x:v>
      </x:c>
      <x:c r="I64" s="23" t="n">
        <x:v>20</x:v>
      </x:c>
      <x:c r="J64" s="8" t="n">
        <x:v>5</x:v>
      </x:c>
      <x:c r="K64" s="23" t="n">
        <x:v>129</x:v>
      </x:c>
      <x:c r="L64" s="24" t="n">
        <x:v>5.3</x:v>
      </x:c>
      <x:c r="M64" s="8" t="str">
        <x:v>outdoor|arganzuela|good</x:v>
      </x:c>
      <x:c r="N64" s="25" t="str">
        <x:v>2025-04-05</x:v>
      </x:c>
      <x:c r="O64" s="8" t="str">
        <x:f>IF(COUNTIF('Centros'!$A$2:$A$13,B64)=1,"OK","ERROR")</x:f>
        <x:v>OK</x:v>
      </x:c>
    </x:row>
    <x:row r="65">
      <x:c r="A65" s="8" t="str">
        <x:v>ITM-000064</x:v>
      </x:c>
      <x:c r="B65" s="8" t="str">
        <x:v>HUB-MAD-004</x:v>
      </x:c>
      <x:c r="C65" s="8" t="str">
        <x:v>Bicicleta urbana</x:v>
      </x:c>
      <x:c r="D65" s="8" t="str">
        <x:v>bicicleta-urbana-itm-000064</x:v>
      </x:c>
      <x:c r="E65" s="8" t="str">
        <x:v>mobility</x:v>
      </x:c>
      <x:c r="F65" s="8" t="str">
        <x:v>Bicicleta urbana revisado por el equipo de Nodo Trafalgar, con accesorios básicos y guía de uso incluida.</x:v>
      </x:c>
      <x:c r="G65" s="8" t="str">
        <x:v>fair</x:v>
      </x:c>
      <x:c r="H65" s="8" t="str">
        <x:v>available</x:v>
      </x:c>
      <x:c r="I65" s="23" t="n">
        <x:v>30</x:v>
      </x:c>
      <x:c r="J65" s="8" t="n">
        <x:v>6</x:v>
      </x:c>
      <x:c r="K65" s="23" t="n">
        <x:v>146</x:v>
      </x:c>
      <x:c r="L65" s="24" t="n">
        <x:v>6.6</x:v>
      </x:c>
      <x:c r="M65" s="8" t="str">
        <x:v>mobility|chamberí|fair</x:v>
      </x:c>
      <x:c r="N65" s="25" t="str">
        <x:v>2025-04-08</x:v>
      </x:c>
      <x:c r="O65" s="8" t="str">
        <x:f>IF(COUNTIF('Centros'!$A$2:$A$13,B65)=1,"OK","ERROR")</x:f>
        <x:v>OK</x:v>
      </x:c>
    </x:row>
    <x:row r="66">
      <x:c r="A66" s="8" t="str">
        <x:v>ITM-000065</x:v>
      </x:c>
      <x:c r="B66" s="8" t="str">
        <x:v>HUB-MAD-005</x:v>
      </x:c>
      <x:c r="C66" s="8" t="str">
        <x:v>Proyector portátil</x:v>
      </x:c>
      <x:c r="D66" s="8" t="str">
        <x:v>proyector-portatil-itm-000065</x:v>
      </x:c>
      <x:c r="E66" s="8" t="str">
        <x:v>events</x:v>
      </x:c>
      <x:c r="F66" s="8" t="str">
        <x:v>Proyector portátil revisado por el equipo de Nodo Bellas Vistas, con accesorios básicos y guía de uso incluida.</x:v>
      </x:c>
      <x:c r="G66" s="8" t="str">
        <x:v>excellent</x:v>
      </x:c>
      <x:c r="H66" s="8" t="str">
        <x:v>available</x:v>
      </x:c>
      <x:c r="I66" s="23" t="n">
        <x:v>0</x:v>
      </x:c>
      <x:c r="J66" s="8" t="n">
        <x:v>7</x:v>
      </x:c>
      <x:c r="K66" s="23" t="n">
        <x:v>163</x:v>
      </x:c>
      <x:c r="L66" s="24" t="n">
        <x:v>7.9</x:v>
      </x:c>
      <x:c r="M66" s="8" t="str">
        <x:v>events|tetuán|excellent</x:v>
      </x:c>
      <x:c r="N66" s="25" t="str">
        <x:v>2025-04-11</x:v>
      </x:c>
      <x:c r="O66" s="8" t="str">
        <x:f>IF(COUNTIF('Centros'!$A$2:$A$13,B66)=1,"OK","ERROR")</x:f>
        <x:v>OK</x:v>
      </x:c>
    </x:row>
    <x:row r="67">
      <x:c r="A67" s="8" t="str">
        <x:v>ITM-000066</x:v>
      </x:c>
      <x:c r="B67" s="8" t="str">
        <x:v>HUB-MAD-006</x:v>
      </x:c>
      <x:c r="C67" s="8" t="str">
        <x:v>Escáner documental</x:v>
      </x:c>
      <x:c r="D67" s="8" t="str">
        <x:v>escaner-documental-itm-000066</x:v>
      </x:c>
      <x:c r="E67" s="8" t="str">
        <x:v>technology</x:v>
      </x:c>
      <x:c r="F67" s="8" t="str">
        <x:v>Escáner documental revisado por el equipo de Nodo Opañel, con accesorios básicos y guía de uso incluida.</x:v>
      </x:c>
      <x:c r="G67" s="8" t="str">
        <x:v>good</x:v>
      </x:c>
      <x:c r="H67" s="8" t="str">
        <x:v>available</x:v>
      </x:c>
      <x:c r="I67" s="23" t="n">
        <x:v>10</x:v>
      </x:c>
      <x:c r="J67" s="8" t="n">
        <x:v>3</x:v>
      </x:c>
      <x:c r="K67" s="23" t="n">
        <x:v>180</x:v>
      </x:c>
      <x:c r="L67" s="24" t="n">
        <x:v>9.2</x:v>
      </x:c>
      <x:c r="M67" s="8" t="str">
        <x:v>technology|carabanchel|good</x:v>
      </x:c>
      <x:c r="N67" s="25" t="str">
        <x:v>2025-04-14</x:v>
      </x:c>
      <x:c r="O67" s="8" t="str">
        <x:f>IF(COUNTIF('Centros'!$A$2:$A$13,B67)=1,"OK","ERROR")</x:f>
        <x:v>OK</x:v>
      </x:c>
    </x:row>
    <x:row r="68">
      <x:c r="A68" s="8" t="str">
        <x:v>ITM-000067</x:v>
      </x:c>
      <x:c r="B68" s="8" t="str">
        <x:v>HUB-MAD-007</x:v>
      </x:c>
      <x:c r="C68" s="8" t="str">
        <x:v>Lijadora orbital</x:v>
      </x:c>
      <x:c r="D68" s="8" t="str">
        <x:v>lijadora-orbital-itm-000067</x:v>
      </x:c>
      <x:c r="E68" s="8" t="str">
        <x:v>tools</x:v>
      </x:c>
      <x:c r="F68" s="8" t="str">
        <x:v>Lijadora orbital revisado por el equipo de Nodo Almendrales, con accesorios básicos y guía de uso incluida.</x:v>
      </x:c>
      <x:c r="G68" s="8" t="str">
        <x:v>good</x:v>
      </x:c>
      <x:c r="H68" s="8" t="str">
        <x:v>available</x:v>
      </x:c>
      <x:c r="I68" s="23" t="n">
        <x:v>20</x:v>
      </x:c>
      <x:c r="J68" s="8" t="n">
        <x:v>4</x:v>
      </x:c>
      <x:c r="K68" s="23" t="n">
        <x:v>197</x:v>
      </x:c>
      <x:c r="L68" s="24" t="n">
        <x:v>2</x:v>
      </x:c>
      <x:c r="M68" s="8" t="str">
        <x:v>tools|usera|good</x:v>
      </x:c>
      <x:c r="N68" s="25" t="str">
        <x:v>2025-04-17</x:v>
      </x:c>
      <x:c r="O68" s="8" t="str">
        <x:f>IF(COUNTIF('Centros'!$A$2:$A$13,B68)=1,"OK","ERROR")</x:f>
        <x:v>OK</x:v>
      </x:c>
    </x:row>
    <x:row r="69">
      <x:c r="A69" s="8" t="str">
        <x:v>ITM-000068</x:v>
      </x:c>
      <x:c r="B69" s="8" t="str">
        <x:v>HUB-MAD-008</x:v>
      </x:c>
      <x:c r="C69" s="8" t="str">
        <x:v>Robot de cocina</x:v>
      </x:c>
      <x:c r="D69" s="8" t="str">
        <x:v>robot-de-cocina-itm-000068</x:v>
      </x:c>
      <x:c r="E69" s="8" t="str">
        <x:v>kitchen</x:v>
      </x:c>
      <x:c r="F69" s="8" t="str">
        <x:v>Robot de cocina revisado por el equipo de Nodo Numancia, con accesorios básicos y guía de uso incluida.</x:v>
      </x:c>
      <x:c r="G69" s="8" t="str">
        <x:v>fair</x:v>
      </x:c>
      <x:c r="H69" s="8" t="str">
        <x:v>available</x:v>
      </x:c>
      <x:c r="I69" s="23" t="n">
        <x:v>30</x:v>
      </x:c>
      <x:c r="J69" s="8" t="n">
        <x:v>5</x:v>
      </x:c>
      <x:c r="K69" s="23" t="n">
        <x:v>214</x:v>
      </x:c>
      <x:c r="L69" s="24" t="n">
        <x:v>3.3</x:v>
      </x:c>
      <x:c r="M69" s="8" t="str">
        <x:v>kitchen|puente de vallecas|fair</x:v>
      </x:c>
      <x:c r="N69" s="25" t="str">
        <x:v>2025-04-20</x:v>
      </x:c>
      <x:c r="O69" s="8" t="str">
        <x:f>IF(COUNTIF('Centros'!$A$2:$A$13,B69)=1,"OK","ERROR")</x:f>
        <x:v>OK</x:v>
      </x:c>
    </x:row>
    <x:row r="70">
      <x:c r="A70" s="8" t="str">
        <x:v>ITM-000069</x:v>
      </x:c>
      <x:c r="B70" s="8" t="str">
        <x:v>HUB-MAD-009</x:v>
      </x:c>
      <x:c r="C70" s="8" t="str">
        <x:v>Mochila de trekking 50L</x:v>
      </x:c>
      <x:c r="D70" s="8" t="str">
        <x:v>mochila-de-trekking-50l-itm-000069</x:v>
      </x:c>
      <x:c r="E70" s="8" t="str">
        <x:v>outdoor</x:v>
      </x:c>
      <x:c r="F70" s="8" t="str">
        <x:v>Mochila de trekking 50L revisado por el equipo de Nodo Pacífico, con accesorios básicos y guía de uso incluida.</x:v>
      </x:c>
      <x:c r="G70" s="8" t="str">
        <x:v>excellent</x:v>
      </x:c>
      <x:c r="H70" s="8" t="str">
        <x:v>available</x:v>
      </x:c>
      <x:c r="I70" s="23" t="n">
        <x:v>0</x:v>
      </x:c>
      <x:c r="J70" s="8" t="n">
        <x:v>6</x:v>
      </x:c>
      <x:c r="K70" s="23" t="n">
        <x:v>231</x:v>
      </x:c>
      <x:c r="L70" s="24" t="n">
        <x:v>4.6</x:v>
      </x:c>
      <x:c r="M70" s="8" t="str">
        <x:v>outdoor|retiro|excellent</x:v>
      </x:c>
      <x:c r="N70" s="25" t="str">
        <x:v>2025-04-23</x:v>
      </x:c>
      <x:c r="O70" s="8" t="str">
        <x:f>IF(COUNTIF('Centros'!$A$2:$A$13,B70)=1,"OK","ERROR")</x:f>
        <x:v>OK</x:v>
      </x:c>
    </x:row>
    <x:row r="71">
      <x:c r="A71" s="8" t="str">
        <x:v>ITM-000070</x:v>
      </x:c>
      <x:c r="B71" s="8" t="str">
        <x:v>HUB-MAD-010</x:v>
      </x:c>
      <x:c r="C71" s="8" t="str">
        <x:v>Carrito de carga plegable</x:v>
      </x:c>
      <x:c r="D71" s="8" t="str">
        <x:v>carrito-de-carga-plegable-itm-000070</x:v>
      </x:c>
      <x:c r="E71" s="8" t="str">
        <x:v>mobility</x:v>
      </x:c>
      <x:c r="F71" s="8" t="str">
        <x:v>Carrito de carga plegable revisado por el equipo de Nodo Canillas, con accesorios básicos y guía de uso incluida.</x:v>
      </x:c>
      <x:c r="G71" s="8" t="str">
        <x:v>good</x:v>
      </x:c>
      <x:c r="H71" s="8" t="str">
        <x:v>available</x:v>
      </x:c>
      <x:c r="I71" s="23" t="n">
        <x:v>10</x:v>
      </x:c>
      <x:c r="J71" s="8" t="n">
        <x:v>7</x:v>
      </x:c>
      <x:c r="K71" s="23" t="n">
        <x:v>248</x:v>
      </x:c>
      <x:c r="L71" s="24" t="n">
        <x:v>5.9</x:v>
      </x:c>
      <x:c r="M71" s="8" t="str">
        <x:v>mobility|hortaleza|good</x:v>
      </x:c>
      <x:c r="N71" s="25" t="str">
        <x:v>2025-04-26</x:v>
      </x:c>
      <x:c r="O71" s="8" t="str">
        <x:f>IF(COUNTIF('Centros'!$A$2:$A$13,B71)=1,"OK","ERROR")</x:f>
        <x:v>OK</x:v>
      </x:c>
    </x:row>
    <x:row r="72">
      <x:c r="A72" s="8" t="str">
        <x:v>ITM-000071</x:v>
      </x:c>
      <x:c r="B72" s="8" t="str">
        <x:v>HUB-MAD-011</x:v>
      </x:c>
      <x:c r="C72" s="8" t="str">
        <x:v>Altavoz autoamplificado</x:v>
      </x:c>
      <x:c r="D72" s="8" t="str">
        <x:v>altavoz-autoamplificado-itm-000071</x:v>
      </x:c>
      <x:c r="E72" s="8" t="str">
        <x:v>events</x:v>
      </x:c>
      <x:c r="F72" s="8" t="str">
        <x:v>Altavoz autoamplificado revisado por el equipo de Nodo Puerta del Ángel, con accesorios básicos y guía de uso incluida.</x:v>
      </x:c>
      <x:c r="G72" s="8" t="str">
        <x:v>good</x:v>
      </x:c>
      <x:c r="H72" s="8" t="str">
        <x:v>available</x:v>
      </x:c>
      <x:c r="I72" s="23" t="n">
        <x:v>20</x:v>
      </x:c>
      <x:c r="J72" s="8" t="n">
        <x:v>3</x:v>
      </x:c>
      <x:c r="K72" s="23" t="n">
        <x:v>265</x:v>
      </x:c>
      <x:c r="L72" s="24" t="n">
        <x:v>7.2</x:v>
      </x:c>
      <x:c r="M72" s="8" t="str">
        <x:v>events|latina|good</x:v>
      </x:c>
      <x:c r="N72" s="25" t="str">
        <x:v>2025-04-29</x:v>
      </x:c>
      <x:c r="O72" s="8" t="str">
        <x:f>IF(COUNTIF('Centros'!$A$2:$A$13,B72)=1,"OK","ERROR")</x:f>
        <x:v>OK</x:v>
      </x:c>
    </x:row>
    <x:row r="73">
      <x:c r="A73" s="8" t="str">
        <x:v>ITM-000072</x:v>
      </x:c>
      <x:c r="B73" s="8" t="str">
        <x:v>HUB-MAD-012</x:v>
      </x:c>
      <x:c r="C73" s="8" t="str">
        <x:v>Kit de podcast</x:v>
      </x:c>
      <x:c r="D73" s="8" t="str">
        <x:v>kit-de-podcast-itm-000072</x:v>
      </x:c>
      <x:c r="E73" s="8" t="str">
        <x:v>technology</x:v>
      </x:c>
      <x:c r="F73" s="8" t="str">
        <x:v>Kit de podcast revisado por el equipo de Nodo Argüelles, con accesorios básicos y guía de uso incluida.</x:v>
      </x:c>
      <x:c r="G73" s="8" t="str">
        <x:v>fair</x:v>
      </x:c>
      <x:c r="H73" s="8" t="str">
        <x:v>available</x:v>
      </x:c>
      <x:c r="I73" s="23" t="n">
        <x:v>30</x:v>
      </x:c>
      <x:c r="J73" s="8" t="n">
        <x:v>4</x:v>
      </x:c>
      <x:c r="K73" s="23" t="n">
        <x:v>42</x:v>
      </x:c>
      <x:c r="L73" s="24" t="n">
        <x:v>8.5</x:v>
      </x:c>
      <x:c r="M73" s="8" t="str">
        <x:v>technology|moncloa-aravaca|fair</x:v>
      </x:c>
      <x:c r="N73" s="25" t="str">
        <x:v>2025-05-02</x:v>
      </x:c>
      <x:c r="O73" s="8" t="str">
        <x:f>IF(COUNTIF('Centros'!$A$2:$A$13,B73)=1,"OK","ERROR")</x:f>
        <x:v>OK</x:v>
      </x:c>
    </x:row>
    <x:row r="74">
      <x:c r="A74" s="8" t="str">
        <x:v>ITM-000073</x:v>
      </x:c>
      <x:c r="B74" s="8" t="str">
        <x:v>HUB-MAD-001</x:v>
      </x:c>
      <x:c r="C74" s="8" t="str">
        <x:v>Caja de herramientas</x:v>
      </x:c>
      <x:c r="D74" s="8" t="str">
        <x:v>caja-de-herramientas-itm-000073</x:v>
      </x:c>
      <x:c r="E74" s="8" t="str">
        <x:v>tools</x:v>
      </x:c>
      <x:c r="F74" s="8" t="str">
        <x:v>Caja de herramientas revisado por el equipo de Nodo Malasaña, con accesorios básicos y guía de uso incluida.</x:v>
      </x:c>
      <x:c r="G74" s="8" t="str">
        <x:v>excellent</x:v>
      </x:c>
      <x:c r="H74" s="8" t="str">
        <x:v>available</x:v>
      </x:c>
      <x:c r="I74" s="23" t="n">
        <x:v>0</x:v>
      </x:c>
      <x:c r="J74" s="8" t="n">
        <x:v>5</x:v>
      </x:c>
      <x:c r="K74" s="23" t="n">
        <x:v>59</x:v>
      </x:c>
      <x:c r="L74" s="24" t="n">
        <x:v>1.3</x:v>
      </x:c>
      <x:c r="M74" s="8" t="str">
        <x:v>tools|centro|excellent</x:v>
      </x:c>
      <x:c r="N74" s="25" t="str">
        <x:v>2025-05-05</x:v>
      </x:c>
      <x:c r="O74" s="8" t="str">
        <x:f>IF(COUNTIF('Centros'!$A$2:$A$13,B74)=1,"OK","ERROR")</x:f>
        <x:v>OK</x:v>
      </x:c>
    </x:row>
    <x:row r="75">
      <x:c r="A75" s="8" t="str">
        <x:v>ITM-000074</x:v>
      </x:c>
      <x:c r="B75" s="8" t="str">
        <x:v>HUB-MAD-002</x:v>
      </x:c>
      <x:c r="C75" s="8" t="str">
        <x:v>Olla de gran capacidad</x:v>
      </x:c>
      <x:c r="D75" s="8" t="str">
        <x:v>olla-de-gran-capacidad-itm-000074</x:v>
      </x:c>
      <x:c r="E75" s="8" t="str">
        <x:v>kitchen</x:v>
      </x:c>
      <x:c r="F75" s="8" t="str">
        <x:v>Olla de gran capacidad revisado por el equipo de Nodo Lavapiés, con accesorios básicos y guía de uso incluida.</x:v>
      </x:c>
      <x:c r="G75" s="8" t="str">
        <x:v>good</x:v>
      </x:c>
      <x:c r="H75" s="8" t="str">
        <x:v>available</x:v>
      </x:c>
      <x:c r="I75" s="23" t="n">
        <x:v>10</x:v>
      </x:c>
      <x:c r="J75" s="8" t="n">
        <x:v>6</x:v>
      </x:c>
      <x:c r="K75" s="23" t="n">
        <x:v>76</x:v>
      </x:c>
      <x:c r="L75" s="24" t="n">
        <x:v>2.6</x:v>
      </x:c>
      <x:c r="M75" s="8" t="str">
        <x:v>kitchen|centro|good</x:v>
      </x:c>
      <x:c r="N75" s="25" t="str">
        <x:v>2025-05-08</x:v>
      </x:c>
      <x:c r="O75" s="8" t="str">
        <x:f>IF(COUNTIF('Centros'!$A$2:$A$13,B75)=1,"OK","ERROR")</x:f>
        <x:v>OK</x:v>
      </x:c>
    </x:row>
    <x:row r="76">
      <x:c r="A76" s="8" t="str">
        <x:v>ITM-000075</x:v>
      </x:c>
      <x:c r="B76" s="8" t="str">
        <x:v>HUB-MAD-003</x:v>
      </x:c>
      <x:c r="C76" s="8" t="str">
        <x:v>Mesa de camping</x:v>
      </x:c>
      <x:c r="D76" s="8" t="str">
        <x:v>mesa-de-camping-itm-000075</x:v>
      </x:c>
      <x:c r="E76" s="8" t="str">
        <x:v>outdoor</x:v>
      </x:c>
      <x:c r="F76" s="8" t="str">
        <x:v>Mesa de camping revisado por el equipo de Nodo Palos de Moguer, con accesorios básicos y guía de uso incluida.</x:v>
      </x:c>
      <x:c r="G76" s="8" t="str">
        <x:v>good</x:v>
      </x:c>
      <x:c r="H76" s="8" t="str">
        <x:v>available</x:v>
      </x:c>
      <x:c r="I76" s="23" t="n">
        <x:v>20</x:v>
      </x:c>
      <x:c r="J76" s="8" t="n">
        <x:v>7</x:v>
      </x:c>
      <x:c r="K76" s="23" t="n">
        <x:v>93</x:v>
      </x:c>
      <x:c r="L76" s="24" t="n">
        <x:v>3.9</x:v>
      </x:c>
      <x:c r="M76" s="8" t="str">
        <x:v>outdoor|arganzuela|good</x:v>
      </x:c>
      <x:c r="N76" s="25" t="str">
        <x:v>2025-05-11</x:v>
      </x:c>
      <x:c r="O76" s="8" t="str">
        <x:f>IF(COUNTIF('Centros'!$A$2:$A$13,B76)=1,"OK","ERROR")</x:f>
        <x:v>OK</x:v>
      </x:c>
    </x:row>
    <x:row r="77">
      <x:c r="A77" s="8" t="str">
        <x:v>ITM-000076</x:v>
      </x:c>
      <x:c r="B77" s="8" t="str">
        <x:v>HUB-MAD-004</x:v>
      </x:c>
      <x:c r="C77" s="8" t="str">
        <x:v>Silla infantil para bici</x:v>
      </x:c>
      <x:c r="D77" s="8" t="str">
        <x:v>silla-infantil-para-bici-itm-000076</x:v>
      </x:c>
      <x:c r="E77" s="8" t="str">
        <x:v>mobility</x:v>
      </x:c>
      <x:c r="F77" s="8" t="str">
        <x:v>Silla infantil para bici revisado por el equipo de Nodo Trafalgar, con accesorios básicos y guía de uso incluida.</x:v>
      </x:c>
      <x:c r="G77" s="8" t="str">
        <x:v>fair</x:v>
      </x:c>
      <x:c r="H77" s="8" t="str">
        <x:v>available</x:v>
      </x:c>
      <x:c r="I77" s="23" t="n">
        <x:v>30</x:v>
      </x:c>
      <x:c r="J77" s="8" t="n">
        <x:v>3</x:v>
      </x:c>
      <x:c r="K77" s="23" t="n">
        <x:v>110</x:v>
      </x:c>
      <x:c r="L77" s="24" t="n">
        <x:v>5.2</x:v>
      </x:c>
      <x:c r="M77" s="8" t="str">
        <x:v>mobility|chamberí|fair</x:v>
      </x:c>
      <x:c r="N77" s="25" t="str">
        <x:v>2025-05-14</x:v>
      </x:c>
      <x:c r="O77" s="8" t="str">
        <x:f>IF(COUNTIF('Centros'!$A$2:$A$13,B77)=1,"OK","ERROR")</x:f>
        <x:v>OK</x:v>
      </x:c>
    </x:row>
    <x:row r="78">
      <x:c r="A78" s="8" t="str">
        <x:v>ITM-000077</x:v>
      </x:c>
      <x:c r="B78" s="8" t="str">
        <x:v>HUB-MAD-005</x:v>
      </x:c>
      <x:c r="C78" s="8" t="str">
        <x:v>Guirnalda exterior</x:v>
      </x:c>
      <x:c r="D78" s="8" t="str">
        <x:v>guirnalda-exterior-itm-000077</x:v>
      </x:c>
      <x:c r="E78" s="8" t="str">
        <x:v>events</x:v>
      </x:c>
      <x:c r="F78" s="8" t="str">
        <x:v>Guirnalda exterior revisado por el equipo de Nodo Bellas Vistas, con accesorios básicos y guía de uso incluida.</x:v>
      </x:c>
      <x:c r="G78" s="8" t="str">
        <x:v>excellent</x:v>
      </x:c>
      <x:c r="H78" s="8" t="str">
        <x:v>available</x:v>
      </x:c>
      <x:c r="I78" s="23" t="n">
        <x:v>0</x:v>
      </x:c>
      <x:c r="J78" s="8" t="n">
        <x:v>4</x:v>
      </x:c>
      <x:c r="K78" s="23" t="n">
        <x:v>127</x:v>
      </x:c>
      <x:c r="L78" s="24" t="n">
        <x:v>6.5</x:v>
      </x:c>
      <x:c r="M78" s="8" t="str">
        <x:v>events|tetuán|excellent</x:v>
      </x:c>
      <x:c r="N78" s="25" t="str">
        <x:v>2025-05-17</x:v>
      </x:c>
      <x:c r="O78" s="8" t="str">
        <x:f>IF(COUNTIF('Centros'!$A$2:$A$13,B78)=1,"OK","ERROR")</x:f>
        <x:v>OK</x:v>
      </x:c>
    </x:row>
    <x:row r="79">
      <x:c r="A79" s="8" t="str">
        <x:v>ITM-000078</x:v>
      </x:c>
      <x:c r="B79" s="8" t="str">
        <x:v>HUB-MAD-006</x:v>
      </x:c>
      <x:c r="C79" s="8" t="str">
        <x:v>Cámara instantánea</x:v>
      </x:c>
      <x:c r="D79" s="8" t="str">
        <x:v>camara-instantanea-itm-000078</x:v>
      </x:c>
      <x:c r="E79" s="8" t="str">
        <x:v>technology</x:v>
      </x:c>
      <x:c r="F79" s="8" t="str">
        <x:v>Cámara instantánea revisado por el equipo de Nodo Opañel, con accesorios básicos y guía de uso incluida.</x:v>
      </x:c>
      <x:c r="G79" s="8" t="str">
        <x:v>good</x:v>
      </x:c>
      <x:c r="H79" s="8" t="str">
        <x:v>available</x:v>
      </x:c>
      <x:c r="I79" s="23" t="n">
        <x:v>10</x:v>
      </x:c>
      <x:c r="J79" s="8" t="n">
        <x:v>5</x:v>
      </x:c>
      <x:c r="K79" s="23" t="n">
        <x:v>144</x:v>
      </x:c>
      <x:c r="L79" s="24" t="n">
        <x:v>7.8</x:v>
      </x:c>
      <x:c r="M79" s="8" t="str">
        <x:v>technology|carabanchel|good</x:v>
      </x:c>
      <x:c r="N79" s="25" t="str">
        <x:v>2025-05-20</x:v>
      </x:c>
      <x:c r="O79" s="8" t="str">
        <x:f>IF(COUNTIF('Centros'!$A$2:$A$13,B79)=1,"OK","ERROR")</x:f>
        <x:v>OK</x:v>
      </x:c>
    </x:row>
    <x:row r="80">
      <x:c r="A80" s="8" t="str">
        <x:v>ITM-000079</x:v>
      </x:c>
      <x:c r="B80" s="8" t="str">
        <x:v>HUB-MAD-007</x:v>
      </x:c>
      <x:c r="C80" s="8" t="str">
        <x:v>Hidrolimpiadora compacta</x:v>
      </x:c>
      <x:c r="D80" s="8" t="str">
        <x:v>hidrolimpiadora-compacta-itm-000079</x:v>
      </x:c>
      <x:c r="E80" s="8" t="str">
        <x:v>tools</x:v>
      </x:c>
      <x:c r="F80" s="8" t="str">
        <x:v>Hidrolimpiadora compacta revisado por el equipo de Nodo Almendrales, con accesorios básicos y guía de uso incluida.</x:v>
      </x:c>
      <x:c r="G80" s="8" t="str">
        <x:v>good</x:v>
      </x:c>
      <x:c r="H80" s="8" t="str">
        <x:v>available</x:v>
      </x:c>
      <x:c r="I80" s="23" t="n">
        <x:v>20</x:v>
      </x:c>
      <x:c r="J80" s="8" t="n">
        <x:v>6</x:v>
      </x:c>
      <x:c r="K80" s="23" t="n">
        <x:v>161</x:v>
      </x:c>
      <x:c r="L80" s="24" t="n">
        <x:v>9.1</x:v>
      </x:c>
      <x:c r="M80" s="8" t="str">
        <x:v>tools|usera|good</x:v>
      </x:c>
      <x:c r="N80" s="25" t="str">
        <x:v>2025-05-23</x:v>
      </x:c>
      <x:c r="O80" s="8" t="str">
        <x:f>IF(COUNTIF('Centros'!$A$2:$A$13,B80)=1,"OK","ERROR")</x:f>
        <x:v>OK</x:v>
      </x:c>
    </x:row>
    <x:row r="81">
      <x:c r="A81" s="8" t="str">
        <x:v>ITM-000080</x:v>
      </x:c>
      <x:c r="B81" s="8" t="str">
        <x:v>HUB-MAD-008</x:v>
      </x:c>
      <x:c r="C81" s="8" t="str">
        <x:v>Máquina de pasta</x:v>
      </x:c>
      <x:c r="D81" s="8" t="str">
        <x:v>maquina-de-pasta-itm-000080</x:v>
      </x:c>
      <x:c r="E81" s="8" t="str">
        <x:v>kitchen</x:v>
      </x:c>
      <x:c r="F81" s="8" t="str">
        <x:v>Máquina de pasta revisado por el equipo de Nodo Numancia, con accesorios básicos y guía de uso incluida.</x:v>
      </x:c>
      <x:c r="G81" s="8" t="str">
        <x:v>fair</x:v>
      </x:c>
      <x:c r="H81" s="8" t="str">
        <x:v>available</x:v>
      </x:c>
      <x:c r="I81" s="23" t="n">
        <x:v>30</x:v>
      </x:c>
      <x:c r="J81" s="8" t="n">
        <x:v>7</x:v>
      </x:c>
      <x:c r="K81" s="23" t="n">
        <x:v>178</x:v>
      </x:c>
      <x:c r="L81" s="24" t="n">
        <x:v>1.9</x:v>
      </x:c>
      <x:c r="M81" s="8" t="str">
        <x:v>kitchen|puente de vallecas|fair</x:v>
      </x:c>
      <x:c r="N81" s="25" t="str">
        <x:v>2025-05-26</x:v>
      </x:c>
      <x:c r="O81" s="8" t="str">
        <x:f>IF(COUNTIF('Centros'!$A$2:$A$13,B81)=1,"OK","ERROR")</x:f>
        <x:v>OK</x:v>
      </x:c>
    </x:row>
    <x:row r="82">
      <x:c r="A82" s="8" t="str">
        <x:v>ITM-000081</x:v>
      </x:c>
      <x:c r="B82" s="8" t="str">
        <x:v>HUB-MAD-009</x:v>
      </x:c>
      <x:c r="C82" s="8" t="str">
        <x:v>Prismáticos 10x42</x:v>
      </x:c>
      <x:c r="D82" s="8" t="str">
        <x:v>prismaticos-10x42-itm-000081</x:v>
      </x:c>
      <x:c r="E82" s="8" t="str">
        <x:v>outdoor</x:v>
      </x:c>
      <x:c r="F82" s="8" t="str">
        <x:v>Prismáticos 10x42 revisado por el equipo de Nodo Pacífico, con accesorios básicos y guía de uso incluida.</x:v>
      </x:c>
      <x:c r="G82" s="8" t="str">
        <x:v>excellent</x:v>
      </x:c>
      <x:c r="H82" s="8" t="str">
        <x:v>available</x:v>
      </x:c>
      <x:c r="I82" s="23" t="n">
        <x:v>0</x:v>
      </x:c>
      <x:c r="J82" s="8" t="n">
        <x:v>3</x:v>
      </x:c>
      <x:c r="K82" s="23" t="n">
        <x:v>195</x:v>
      </x:c>
      <x:c r="L82" s="24" t="n">
        <x:v>3.2</x:v>
      </x:c>
      <x:c r="M82" s="8" t="str">
        <x:v>outdoor|retiro|excellent</x:v>
      </x:c>
      <x:c r="N82" s="25" t="str">
        <x:v>2025-05-29</x:v>
      </x:c>
      <x:c r="O82" s="8" t="str">
        <x:f>IF(COUNTIF('Centros'!$A$2:$A$13,B82)=1,"OK","ERROR")</x:f>
        <x:v>OK</x:v>
      </x:c>
    </x:row>
    <x:row r="83">
      <x:c r="A83" s="8" t="str">
        <x:v>ITM-000082</x:v>
      </x:c>
      <x:c r="B83" s="8" t="str">
        <x:v>HUB-MAD-010</x:v>
      </x:c>
      <x:c r="C83" s="8" t="str">
        <x:v>Bomba de pie</x:v>
      </x:c>
      <x:c r="D83" s="8" t="str">
        <x:v>bomba-de-pie-itm-000082</x:v>
      </x:c>
      <x:c r="E83" s="8" t="str">
        <x:v>mobility</x:v>
      </x:c>
      <x:c r="F83" s="8" t="str">
        <x:v>Bomba de pie revisado por el equipo de Nodo Canillas, con accesorios básicos y guía de uso incluida.</x:v>
      </x:c>
      <x:c r="G83" s="8" t="str">
        <x:v>good</x:v>
      </x:c>
      <x:c r="H83" s="8" t="str">
        <x:v>available</x:v>
      </x:c>
      <x:c r="I83" s="23" t="n">
        <x:v>10</x:v>
      </x:c>
      <x:c r="J83" s="8" t="n">
        <x:v>4</x:v>
      </x:c>
      <x:c r="K83" s="23" t="n">
        <x:v>212</x:v>
      </x:c>
      <x:c r="L83" s="24" t="n">
        <x:v>4.5</x:v>
      </x:c>
      <x:c r="M83" s="8" t="str">
        <x:v>mobility|hortaleza|good</x:v>
      </x:c>
      <x:c r="N83" s="25" t="str">
        <x:v>2025-06-01</x:v>
      </x:c>
      <x:c r="O83" s="8" t="str">
        <x:f>IF(COUNTIF('Centros'!$A$2:$A$13,B83)=1,"OK","ERROR")</x:f>
        <x:v>OK</x:v>
      </x:c>
    </x:row>
    <x:row r="84">
      <x:c r="A84" s="8" t="str">
        <x:v>ITM-000083</x:v>
      </x:c>
      <x:c r="B84" s="8" t="str">
        <x:v>HUB-MAD-011</x:v>
      </x:c>
      <x:c r="C84" s="8" t="str">
        <x:v>Carpa plegable 3x3</x:v>
      </x:c>
      <x:c r="D84" s="8" t="str">
        <x:v>carpa-plegable-3x3-itm-000083</x:v>
      </x:c>
      <x:c r="E84" s="8" t="str">
        <x:v>events</x:v>
      </x:c>
      <x:c r="F84" s="8" t="str">
        <x:v>Carpa plegable 3x3 revisado por el equipo de Nodo Puerta del Ángel, con accesorios básicos y guía de uso incluida.</x:v>
      </x:c>
      <x:c r="G84" s="8" t="str">
        <x:v>good</x:v>
      </x:c>
      <x:c r="H84" s="8" t="str">
        <x:v>available</x:v>
      </x:c>
      <x:c r="I84" s="23" t="n">
        <x:v>20</x:v>
      </x:c>
      <x:c r="J84" s="8" t="n">
        <x:v>5</x:v>
      </x:c>
      <x:c r="K84" s="23" t="n">
        <x:v>229</x:v>
      </x:c>
      <x:c r="L84" s="24" t="n">
        <x:v>5.8</x:v>
      </x:c>
      <x:c r="M84" s="8" t="str">
        <x:v>events|latina|good</x:v>
      </x:c>
      <x:c r="N84" s="25" t="str">
        <x:v>2025-06-04</x:v>
      </x:c>
      <x:c r="O84" s="8" t="str">
        <x:f>IF(COUNTIF('Centros'!$A$2:$A$13,B84)=1,"OK","ERROR")</x:f>
        <x:v>OK</x:v>
      </x:c>
    </x:row>
    <x:row r="85">
      <x:c r="A85" s="8" t="str">
        <x:v>ITM-000084</x:v>
      </x:c>
      <x:c r="B85" s="8" t="str">
        <x:v>HUB-MAD-012</x:v>
      </x:c>
      <x:c r="C85" s="8" t="str">
        <x:v>Medidor láser</x:v>
      </x:c>
      <x:c r="D85" s="8" t="str">
        <x:v>medidor-laser-itm-000084</x:v>
      </x:c>
      <x:c r="E85" s="8" t="str">
        <x:v>technology</x:v>
      </x:c>
      <x:c r="F85" s="8" t="str">
        <x:v>Medidor láser revisado por el equipo de Nodo Argüelles, con accesorios básicos y guía de uso incluida.</x:v>
      </x:c>
      <x:c r="G85" s="8" t="str">
        <x:v>fair</x:v>
      </x:c>
      <x:c r="H85" s="8" t="str">
        <x:v>available</x:v>
      </x:c>
      <x:c r="I85" s="23" t="n">
        <x:v>30</x:v>
      </x:c>
      <x:c r="J85" s="8" t="n">
        <x:v>6</x:v>
      </x:c>
      <x:c r="K85" s="23" t="n">
        <x:v>246</x:v>
      </x:c>
      <x:c r="L85" s="24" t="n">
        <x:v>7.1</x:v>
      </x:c>
      <x:c r="M85" s="8" t="str">
        <x:v>technology|moncloa-aravaca|fair</x:v>
      </x:c>
      <x:c r="N85" s="25" t="str">
        <x:v>2025-06-07</x:v>
      </x:c>
      <x:c r="O85" s="8" t="str">
        <x:f>IF(COUNTIF('Centros'!$A$2:$A$13,B85)=1,"OK","ERROR")</x:f>
        <x:v>OK</x:v>
      </x:c>
    </x:row>
    <x:row r="86">
      <x:c r="A86" s="8" t="str">
        <x:v>ITM-000085</x:v>
      </x:c>
      <x:c r="B86" s="8" t="str">
        <x:v>HUB-MAD-001</x:v>
      </x:c>
      <x:c r="C86" s="8" t="str">
        <x:v>Sierra de calar</x:v>
      </x:c>
      <x:c r="D86" s="8" t="str">
        <x:v>sierra-de-calar-itm-000085</x:v>
      </x:c>
      <x:c r="E86" s="8" t="str">
        <x:v>tools</x:v>
      </x:c>
      <x:c r="F86" s="8" t="str">
        <x:v>Sierra de calar revisado por el equipo de Nodo Malasaña, con accesorios básicos y guía de uso incluida.</x:v>
      </x:c>
      <x:c r="G86" s="8" t="str">
        <x:v>excellent</x:v>
      </x:c>
      <x:c r="H86" s="8" t="str">
        <x:v>available</x:v>
      </x:c>
      <x:c r="I86" s="23" t="n">
        <x:v>0</x:v>
      </x:c>
      <x:c r="J86" s="8" t="n">
        <x:v>7</x:v>
      </x:c>
      <x:c r="K86" s="23" t="n">
        <x:v>263</x:v>
      </x:c>
      <x:c r="L86" s="24" t="n">
        <x:v>8.4</x:v>
      </x:c>
      <x:c r="M86" s="8" t="str">
        <x:v>tools|centro|excellent</x:v>
      </x:c>
      <x:c r="N86" s="25" t="str">
        <x:v>2025-06-10</x:v>
      </x:c>
      <x:c r="O86" s="8" t="str">
        <x:f>IF(COUNTIF('Centros'!$A$2:$A$13,B86)=1,"OK","ERROR")</x:f>
        <x:v>OK</x:v>
      </x:c>
    </x:row>
    <x:row r="87">
      <x:c r="A87" s="8" t="str">
        <x:v>ITM-000086</x:v>
      </x:c>
      <x:c r="B87" s="8" t="str">
        <x:v>HUB-MAD-002</x:v>
      </x:c>
      <x:c r="C87" s="8" t="str">
        <x:v>Batidora de vaso</x:v>
      </x:c>
      <x:c r="D87" s="8" t="str">
        <x:v>batidora-de-vaso-itm-000086</x:v>
      </x:c>
      <x:c r="E87" s="8" t="str">
        <x:v>kitchen</x:v>
      </x:c>
      <x:c r="F87" s="8" t="str">
        <x:v>Batidora de vaso revisado por el equipo de Nodo Lavapiés, con accesorios básicos y guía de uso incluida.</x:v>
      </x:c>
      <x:c r="G87" s="8" t="str">
        <x:v>good</x:v>
      </x:c>
      <x:c r="H87" s="8" t="str">
        <x:v>available</x:v>
      </x:c>
      <x:c r="I87" s="23" t="n">
        <x:v>10</x:v>
      </x:c>
      <x:c r="J87" s="8" t="n">
        <x:v>3</x:v>
      </x:c>
      <x:c r="K87" s="23" t="n">
        <x:v>40</x:v>
      </x:c>
      <x:c r="L87" s="24" t="n">
        <x:v>1.2</x:v>
      </x:c>
      <x:c r="M87" s="8" t="str">
        <x:v>kitchen|centro|good</x:v>
      </x:c>
      <x:c r="N87" s="25" t="str">
        <x:v>2025-06-13</x:v>
      </x:c>
      <x:c r="O87" s="8" t="str">
        <x:f>IF(COUNTIF('Centros'!$A$2:$A$13,B87)=1,"OK","ERROR")</x:f>
        <x:v>OK</x:v>
      </x:c>
    </x:row>
    <x:row r="88">
      <x:c r="A88" s="8" t="str">
        <x:v>ITM-000087</x:v>
      </x:c>
      <x:c r="B88" s="8" t="str">
        <x:v>HUB-MAD-003</x:v>
      </x:c>
      <x:c r="C88" s="8" t="str">
        <x:v>Saco de dormir</x:v>
      </x:c>
      <x:c r="D88" s="8" t="str">
        <x:v>saco-de-dormir-itm-000087</x:v>
      </x:c>
      <x:c r="E88" s="8" t="str">
        <x:v>outdoor</x:v>
      </x:c>
      <x:c r="F88" s="8" t="str">
        <x:v>Saco de dormir revisado por el equipo de Nodo Palos de Moguer, con accesorios básicos y guía de uso incluida.</x:v>
      </x:c>
      <x:c r="G88" s="8" t="str">
        <x:v>good</x:v>
      </x:c>
      <x:c r="H88" s="8" t="str">
        <x:v>available</x:v>
      </x:c>
      <x:c r="I88" s="23" t="n">
        <x:v>20</x:v>
      </x:c>
      <x:c r="J88" s="8" t="n">
        <x:v>4</x:v>
      </x:c>
      <x:c r="K88" s="23" t="n">
        <x:v>57</x:v>
      </x:c>
      <x:c r="L88" s="24" t="n">
        <x:v>2.5</x:v>
      </x:c>
      <x:c r="M88" s="8" t="str">
        <x:v>outdoor|arganzuela|good</x:v>
      </x:c>
      <x:c r="N88" s="25" t="str">
        <x:v>2025-06-16</x:v>
      </x:c>
      <x:c r="O88" s="8" t="str">
        <x:f>IF(COUNTIF('Centros'!$A$2:$A$13,B88)=1,"OK","ERROR")</x:f>
        <x:v>OK</x:v>
      </x:c>
    </x:row>
    <x:row r="89">
      <x:c r="A89" s="8" t="str">
        <x:v>ITM-000088</x:v>
      </x:c>
      <x:c r="B89" s="8" t="str">
        <x:v>HUB-MAD-004</x:v>
      </x:c>
      <x:c r="C89" s="8" t="str">
        <x:v>Kit reparación de bici</x:v>
      </x:c>
      <x:c r="D89" s="8" t="str">
        <x:v>kit-reparacion-de-bici-itm-000088</x:v>
      </x:c>
      <x:c r="E89" s="8" t="str">
        <x:v>mobility</x:v>
      </x:c>
      <x:c r="F89" s="8" t="str">
        <x:v>Kit reparación de bici revisado por el equipo de Nodo Trafalgar, con accesorios básicos y guía de uso incluida.</x:v>
      </x:c>
      <x:c r="G89" s="8" t="str">
        <x:v>fair</x:v>
      </x:c>
      <x:c r="H89" s="8" t="str">
        <x:v>maintenance</x:v>
      </x:c>
      <x:c r="I89" s="23" t="n">
        <x:v>0</x:v>
      </x:c>
      <x:c r="J89" s="8" t="n">
        <x:v>5</x:v>
      </x:c>
      <x:c r="K89" s="23" t="n">
        <x:v>74</x:v>
      </x:c>
      <x:c r="L89" s="24" t="n">
        <x:v>3.8</x:v>
      </x:c>
      <x:c r="M89" s="8" t="str">
        <x:v>mobility|chamberí|fair</x:v>
      </x:c>
      <x:c r="N89" s="25" t="str">
        <x:v>2025-06-19</x:v>
      </x:c>
      <x:c r="O89" s="8" t="str">
        <x:f>IF(COUNTIF('Centros'!$A$2:$A$13,B89)=1,"OK","ERROR")</x:f>
        <x:v>OK</x:v>
      </x:c>
    </x:row>
    <x:row r="90">
      <x:c r="A90" s="8" t="str">
        <x:v>ITM-000089</x:v>
      </x:c>
      <x:c r="B90" s="8" t="str">
        <x:v>HUB-MAD-005</x:v>
      </x:c>
      <x:c r="C90" s="8" t="str">
        <x:v>Pack de 30 sillas</x:v>
      </x:c>
      <x:c r="D90" s="8" t="str">
        <x:v>pack-de-30-sillas-itm-000089</x:v>
      </x:c>
      <x:c r="E90" s="8" t="str">
        <x:v>events</x:v>
      </x:c>
      <x:c r="F90" s="8" t="str">
        <x:v>Pack de 30 sillas revisado por el equipo de Nodo Bellas Vistas, con accesorios básicos y guía de uso incluida.</x:v>
      </x:c>
      <x:c r="G90" s="8" t="str">
        <x:v>excellent</x:v>
      </x:c>
      <x:c r="H90" s="8" t="str">
        <x:v>available</x:v>
      </x:c>
      <x:c r="I90" s="23" t="n">
        <x:v>0</x:v>
      </x:c>
      <x:c r="J90" s="8" t="n">
        <x:v>6</x:v>
      </x:c>
      <x:c r="K90" s="23" t="n">
        <x:v>91</x:v>
      </x:c>
      <x:c r="L90" s="24" t="n">
        <x:v>5.1</x:v>
      </x:c>
      <x:c r="M90" s="8" t="str">
        <x:v>events|tetuán|excellent</x:v>
      </x:c>
      <x:c r="N90" s="25" t="str">
        <x:v>2025-06-22</x:v>
      </x:c>
      <x:c r="O90" s="8" t="str">
        <x:f>IF(COUNTIF('Centros'!$A$2:$A$13,B90)=1,"OK","ERROR")</x:f>
        <x:v>OK</x:v>
      </x:c>
    </x:row>
    <x:row r="91">
      <x:c r="A91" s="8" t="str">
        <x:v>ITM-000090</x:v>
      </x:c>
      <x:c r="B91" s="8" t="str">
        <x:v>HUB-MAD-006</x:v>
      </x:c>
      <x:c r="C91" s="8" t="str">
        <x:v>Tablet gráfica</x:v>
      </x:c>
      <x:c r="D91" s="8" t="str">
        <x:v>tablet-grafica-itm-000090</x:v>
      </x:c>
      <x:c r="E91" s="8" t="str">
        <x:v>technology</x:v>
      </x:c>
      <x:c r="F91" s="8" t="str">
        <x:v>Tablet gráfica revisado por el equipo de Nodo Opañel, con accesorios básicos y guía de uso incluida.</x:v>
      </x:c>
      <x:c r="G91" s="8" t="str">
        <x:v>good</x:v>
      </x:c>
      <x:c r="H91" s="8" t="str">
        <x:v>available</x:v>
      </x:c>
      <x:c r="I91" s="23" t="n">
        <x:v>10</x:v>
      </x:c>
      <x:c r="J91" s="8" t="n">
        <x:v>7</x:v>
      </x:c>
      <x:c r="K91" s="23" t="n">
        <x:v>108</x:v>
      </x:c>
      <x:c r="L91" s="24" t="n">
        <x:v>6.4</x:v>
      </x:c>
      <x:c r="M91" s="8" t="str">
        <x:v>technology|carabanchel|good</x:v>
      </x:c>
      <x:c r="N91" s="25" t="str">
        <x:v>2025-06-25</x:v>
      </x:c>
      <x:c r="O91" s="8" t="str">
        <x:f>IF(COUNTIF('Centros'!$A$2:$A$13,B91)=1,"OK","ERROR")</x:f>
        <x:v>OK</x:v>
      </x:c>
    </x:row>
    <x:row r="92">
      <x:c r="A92" s="8" t="str">
        <x:v>ITM-000091</x:v>
      </x:c>
      <x:c r="B92" s="8" t="str">
        <x:v>HUB-MAD-007</x:v>
      </x:c>
      <x:c r="C92" s="8" t="str">
        <x:v>Taladro percutor 18V</x:v>
      </x:c>
      <x:c r="D92" s="8" t="str">
        <x:v>taladro-percutor-18v-itm-000091</x:v>
      </x:c>
      <x:c r="E92" s="8" t="str">
        <x:v>tools</x:v>
      </x:c>
      <x:c r="F92" s="8" t="str">
        <x:v>Taladro percutor 18V revisado por el equipo de Nodo Almendrales, con accesorios básicos y guía de uso incluida.</x:v>
      </x:c>
      <x:c r="G92" s="8" t="str">
        <x:v>good</x:v>
      </x:c>
      <x:c r="H92" s="8" t="str">
        <x:v>available</x:v>
      </x:c>
      <x:c r="I92" s="23" t="n">
        <x:v>20</x:v>
      </x:c>
      <x:c r="J92" s="8" t="n">
        <x:v>3</x:v>
      </x:c>
      <x:c r="K92" s="23" t="n">
        <x:v>125</x:v>
      </x:c>
      <x:c r="L92" s="24" t="n">
        <x:v>7.7</x:v>
      </x:c>
      <x:c r="M92" s="8" t="str">
        <x:v>tools|usera|good</x:v>
      </x:c>
      <x:c r="N92" s="25" t="str">
        <x:v>2025-06-28</x:v>
      </x:c>
      <x:c r="O92" s="8" t="str">
        <x:f>IF(COUNTIF('Centros'!$A$2:$A$13,B92)=1,"OK","ERROR")</x:f>
        <x:v>OK</x:v>
      </x:c>
    </x:row>
    <x:row r="93">
      <x:c r="A93" s="8" t="str">
        <x:v>ITM-000092</x:v>
      </x:c>
      <x:c r="B93" s="8" t="str">
        <x:v>HUB-MAD-008</x:v>
      </x:c>
      <x:c r="C93" s="8" t="str">
        <x:v>Vajilla para 24 personas</x:v>
      </x:c>
      <x:c r="D93" s="8" t="str">
        <x:v>vajilla-para-24-personas-itm-000092</x:v>
      </x:c>
      <x:c r="E93" s="8" t="str">
        <x:v>kitchen</x:v>
      </x:c>
      <x:c r="F93" s="8" t="str">
        <x:v>Vajilla para 24 personas revisado por el equipo de Nodo Numancia, con accesorios básicos y guía de uso incluida.</x:v>
      </x:c>
      <x:c r="G93" s="8" t="str">
        <x:v>fair</x:v>
      </x:c>
      <x:c r="H93" s="8" t="str">
        <x:v>available</x:v>
      </x:c>
      <x:c r="I93" s="23" t="n">
        <x:v>30</x:v>
      </x:c>
      <x:c r="J93" s="8" t="n">
        <x:v>4</x:v>
      </x:c>
      <x:c r="K93" s="23" t="n">
        <x:v>142</x:v>
      </x:c>
      <x:c r="L93" s="24" t="n">
        <x:v>9</x:v>
      </x:c>
      <x:c r="M93" s="8" t="str">
        <x:v>kitchen|puente de vallecas|fair</x:v>
      </x:c>
      <x:c r="N93" s="25" t="str">
        <x:v>2025-07-01</x:v>
      </x:c>
      <x:c r="O93" s="8" t="str">
        <x:f>IF(COUNTIF('Centros'!$A$2:$A$13,B93)=1,"OK","ERROR")</x:f>
        <x:v>OK</x:v>
      </x:c>
    </x:row>
    <x:row r="94">
      <x:c r="A94" s="8" t="str">
        <x:v>ITM-000093</x:v>
      </x:c>
      <x:c r="B94" s="8" t="str">
        <x:v>HUB-MAD-009</x:v>
      </x:c>
      <x:c r="C94" s="8" t="str">
        <x:v>Tienda de campaña 3P</x:v>
      </x:c>
      <x:c r="D94" s="8" t="str">
        <x:v>tienda-de-campana-3p-itm-000093</x:v>
      </x:c>
      <x:c r="E94" s="8" t="str">
        <x:v>outdoor</x:v>
      </x:c>
      <x:c r="F94" s="8" t="str">
        <x:v>Tienda de campaña 3P revisado por el equipo de Nodo Pacífico, con accesorios básicos y guía de uso incluida.</x:v>
      </x:c>
      <x:c r="G94" s="8" t="str">
        <x:v>excellent</x:v>
      </x:c>
      <x:c r="H94" s="8" t="str">
        <x:v>available</x:v>
      </x:c>
      <x:c r="I94" s="23" t="n">
        <x:v>0</x:v>
      </x:c>
      <x:c r="J94" s="8" t="n">
        <x:v>5</x:v>
      </x:c>
      <x:c r="K94" s="23" t="n">
        <x:v>159</x:v>
      </x:c>
      <x:c r="L94" s="24" t="n">
        <x:v>1.8</x:v>
      </x:c>
      <x:c r="M94" s="8" t="str">
        <x:v>outdoor|retiro|excellent</x:v>
      </x:c>
      <x:c r="N94" s="25" t="str">
        <x:v>2025-07-04</x:v>
      </x:c>
      <x:c r="O94" s="8" t="str">
        <x:f>IF(COUNTIF('Centros'!$A$2:$A$13,B94)=1,"OK","ERROR")</x:f>
        <x:v>OK</x:v>
      </x:c>
    </x:row>
    <x:row r="95">
      <x:c r="A95" s="8" t="str">
        <x:v>ITM-000094</x:v>
      </x:c>
      <x:c r="B95" s="8" t="str">
        <x:v>HUB-MAD-010</x:v>
      </x:c>
      <x:c r="C95" s="8" t="str">
        <x:v>Bicicleta urbana</x:v>
      </x:c>
      <x:c r="D95" s="8" t="str">
        <x:v>bicicleta-urbana-itm-000094</x:v>
      </x:c>
      <x:c r="E95" s="8" t="str">
        <x:v>mobility</x:v>
      </x:c>
      <x:c r="F95" s="8" t="str">
        <x:v>Bicicleta urbana revisado por el equipo de Nodo Canillas, con accesorios básicos y guía de uso incluida.</x:v>
      </x:c>
      <x:c r="G95" s="8" t="str">
        <x:v>good</x:v>
      </x:c>
      <x:c r="H95" s="8" t="str">
        <x:v>available</x:v>
      </x:c>
      <x:c r="I95" s="23" t="n">
        <x:v>10</x:v>
      </x:c>
      <x:c r="J95" s="8" t="n">
        <x:v>6</x:v>
      </x:c>
      <x:c r="K95" s="23" t="n">
        <x:v>176</x:v>
      </x:c>
      <x:c r="L95" s="24" t="n">
        <x:v>3.1</x:v>
      </x:c>
      <x:c r="M95" s="8" t="str">
        <x:v>mobility|hortaleza|good</x:v>
      </x:c>
      <x:c r="N95" s="25" t="str">
        <x:v>2025-07-07</x:v>
      </x:c>
      <x:c r="O95" s="8" t="str">
        <x:f>IF(COUNTIF('Centros'!$A$2:$A$13,B95)=1,"OK","ERROR")</x:f>
        <x:v>OK</x:v>
      </x:c>
    </x:row>
    <x:row r="96">
      <x:c r="A96" s="8" t="str">
        <x:v>ITM-000095</x:v>
      </x:c>
      <x:c r="B96" s="8" t="str">
        <x:v>HUB-MAD-011</x:v>
      </x:c>
      <x:c r="C96" s="8" t="str">
        <x:v>Proyector portátil</x:v>
      </x:c>
      <x:c r="D96" s="8" t="str">
        <x:v>proyector-portatil-itm-000095</x:v>
      </x:c>
      <x:c r="E96" s="8" t="str">
        <x:v>events</x:v>
      </x:c>
      <x:c r="F96" s="8" t="str">
        <x:v>Proyector portátil revisado por el equipo de Nodo Puerta del Ángel, con accesorios básicos y guía de uso incluida.</x:v>
      </x:c>
      <x:c r="G96" s="8" t="str">
        <x:v>good</x:v>
      </x:c>
      <x:c r="H96" s="8" t="str">
        <x:v>retired</x:v>
      </x:c>
      <x:c r="I96" s="23" t="n">
        <x:v>0</x:v>
      </x:c>
      <x:c r="J96" s="8" t="n">
        <x:v>7</x:v>
      </x:c>
      <x:c r="K96" s="23" t="n">
        <x:v>193</x:v>
      </x:c>
      <x:c r="L96" s="24" t="n">
        <x:v>4.4</x:v>
      </x:c>
      <x:c r="M96" s="8" t="str">
        <x:v>events|latina|good</x:v>
      </x:c>
      <x:c r="N96" s="25" t="str">
        <x:v>2025-07-10</x:v>
      </x:c>
      <x:c r="O96" s="8" t="str">
        <x:f>IF(COUNTIF('Centros'!$A$2:$A$13,B96)=1,"OK","ERROR")</x:f>
        <x:v>OK</x:v>
      </x:c>
    </x:row>
    <x:row r="97">
      <x:c r="A97" s="8" t="str">
        <x:v>ITM-000096</x:v>
      </x:c>
      <x:c r="B97" s="8" t="str">
        <x:v>HUB-MAD-012</x:v>
      </x:c>
      <x:c r="C97" s="8" t="str">
        <x:v>Escáner documental</x:v>
      </x:c>
      <x:c r="D97" s="8" t="str">
        <x:v>escaner-documental-itm-000096</x:v>
      </x:c>
      <x:c r="E97" s="8" t="str">
        <x:v>technology</x:v>
      </x:c>
      <x:c r="F97" s="8" t="str">
        <x:v>Escáner documental revisado por el equipo de Nodo Argüelles, con accesorios básicos y guía de uso incluida.</x:v>
      </x:c>
      <x:c r="G97" s="8" t="str">
        <x:v>fair</x:v>
      </x:c>
      <x:c r="H97" s="8" t="str">
        <x:v>available</x:v>
      </x:c>
      <x:c r="I97" s="23" t="n">
        <x:v>30</x:v>
      </x:c>
      <x:c r="J97" s="8" t="n">
        <x:v>3</x:v>
      </x:c>
      <x:c r="K97" s="23" t="n">
        <x:v>210</x:v>
      </x:c>
      <x:c r="L97" s="24" t="n">
        <x:v>5.7</x:v>
      </x:c>
      <x:c r="M97" s="8" t="str">
        <x:v>technology|moncloa-aravaca|fair</x:v>
      </x:c>
      <x:c r="N97" s="25" t="str">
        <x:v>2025-07-13</x:v>
      </x:c>
      <x:c r="O97" s="8" t="str">
        <x:f>IF(COUNTIF('Centros'!$A$2:$A$13,B97)=1,"OK","ERROR")</x:f>
        <x:v>OK</x:v>
      </x:c>
    </x:row>
    <x:row r="98">
      <x:c r="A98" s="8" t="str">
        <x:v>ITM-000097</x:v>
      </x:c>
      <x:c r="B98" s="8" t="str">
        <x:v>HUB-MAD-001</x:v>
      </x:c>
      <x:c r="C98" s="8" t="str">
        <x:v>Lijadora orbital</x:v>
      </x:c>
      <x:c r="D98" s="8" t="str">
        <x:v>lijadora-orbital-itm-000097</x:v>
      </x:c>
      <x:c r="E98" s="8" t="str">
        <x:v>tools</x:v>
      </x:c>
      <x:c r="F98" s="8" t="str">
        <x:v>Lijadora orbital revisado por el equipo de Nodo Malasaña, con accesorios básicos y guía de uso incluida.</x:v>
      </x:c>
      <x:c r="G98" s="8" t="str">
        <x:v>excellent</x:v>
      </x:c>
      <x:c r="H98" s="8" t="str">
        <x:v>available</x:v>
      </x:c>
      <x:c r="I98" s="23" t="n">
        <x:v>0</x:v>
      </x:c>
      <x:c r="J98" s="8" t="n">
        <x:v>4</x:v>
      </x:c>
      <x:c r="K98" s="23" t="n">
        <x:v>227</x:v>
      </x:c>
      <x:c r="L98" s="24" t="n">
        <x:v>7</x:v>
      </x:c>
      <x:c r="M98" s="8" t="str">
        <x:v>tools|centro|excellent</x:v>
      </x:c>
      <x:c r="N98" s="25" t="str">
        <x:v>2025-07-16</x:v>
      </x:c>
      <x:c r="O98" s="8" t="str">
        <x:f>IF(COUNTIF('Centros'!$A$2:$A$13,B98)=1,"OK","ERROR")</x:f>
        <x:v>OK</x:v>
      </x:c>
    </x:row>
    <x:row r="99">
      <x:c r="A99" s="8" t="str">
        <x:v>ITM-000098</x:v>
      </x:c>
      <x:c r="B99" s="8" t="str">
        <x:v>HUB-MAD-002</x:v>
      </x:c>
      <x:c r="C99" s="8" t="str">
        <x:v>Robot de cocina</x:v>
      </x:c>
      <x:c r="D99" s="8" t="str">
        <x:v>robot-de-cocina-itm-000098</x:v>
      </x:c>
      <x:c r="E99" s="8" t="str">
        <x:v>kitchen</x:v>
      </x:c>
      <x:c r="F99" s="8" t="str">
        <x:v>Robot de cocina revisado por el equipo de Nodo Lavapiés, con accesorios básicos y guía de uso incluida.</x:v>
      </x:c>
      <x:c r="G99" s="8" t="str">
        <x:v>good</x:v>
      </x:c>
      <x:c r="H99" s="8" t="str">
        <x:v>available</x:v>
      </x:c>
      <x:c r="I99" s="23" t="n">
        <x:v>10</x:v>
      </x:c>
      <x:c r="J99" s="8" t="n">
        <x:v>5</x:v>
      </x:c>
      <x:c r="K99" s="23" t="n">
        <x:v>244</x:v>
      </x:c>
      <x:c r="L99" s="24" t="n">
        <x:v>8.3</x:v>
      </x:c>
      <x:c r="M99" s="8" t="str">
        <x:v>kitchen|centro|good</x:v>
      </x:c>
      <x:c r="N99" s="25" t="str">
        <x:v>2025-07-19</x:v>
      </x:c>
      <x:c r="O99" s="8" t="str">
        <x:f>IF(COUNTIF('Centros'!$A$2:$A$13,B99)=1,"OK","ERROR")</x:f>
        <x:v>OK</x:v>
      </x:c>
    </x:row>
    <x:row r="100">
      <x:c r="A100" s="8" t="str">
        <x:v>ITM-000099</x:v>
      </x:c>
      <x:c r="B100" s="8" t="str">
        <x:v>HUB-MAD-003</x:v>
      </x:c>
      <x:c r="C100" s="8" t="str">
        <x:v>Mochila de trekking 50L</x:v>
      </x:c>
      <x:c r="D100" s="8" t="str">
        <x:v>mochila-de-trekking-50l-itm-000099</x:v>
      </x:c>
      <x:c r="E100" s="8" t="str">
        <x:v>outdoor</x:v>
      </x:c>
      <x:c r="F100" s="8" t="str">
        <x:v>Mochila de trekking 50L revisado por el equipo de Nodo Palos de Moguer, con accesorios básicos y guía de uso incluida.</x:v>
      </x:c>
      <x:c r="G100" s="8" t="str">
        <x:v>good</x:v>
      </x:c>
      <x:c r="H100" s="8" t="str">
        <x:v>available</x:v>
      </x:c>
      <x:c r="I100" s="23" t="n">
        <x:v>20</x:v>
      </x:c>
      <x:c r="J100" s="8" t="n">
        <x:v>6</x:v>
      </x:c>
      <x:c r="K100" s="23" t="n">
        <x:v>261</x:v>
      </x:c>
      <x:c r="L100" s="24" t="n">
        <x:v>9.6</x:v>
      </x:c>
      <x:c r="M100" s="8" t="str">
        <x:v>outdoor|arganzuela|good</x:v>
      </x:c>
      <x:c r="N100" s="25" t="str">
        <x:v>2025-07-22</x:v>
      </x:c>
      <x:c r="O100" s="8" t="str">
        <x:f>IF(COUNTIF('Centros'!$A$2:$A$13,B100)=1,"OK","ERROR")</x:f>
        <x:v>OK</x:v>
      </x:c>
    </x:row>
    <x:row r="101">
      <x:c r="A101" s="8" t="str">
        <x:v>ITM-000100</x:v>
      </x:c>
      <x:c r="B101" s="8" t="str">
        <x:v>HUB-MAD-004</x:v>
      </x:c>
      <x:c r="C101" s="8" t="str">
        <x:v>Carrito de carga plegable</x:v>
      </x:c>
      <x:c r="D101" s="8" t="str">
        <x:v>carrito-de-carga-plegable-itm-000100</x:v>
      </x:c>
      <x:c r="E101" s="8" t="str">
        <x:v>mobility</x:v>
      </x:c>
      <x:c r="F101" s="8" t="str">
        <x:v>Carrito de carga plegable revisado por el equipo de Nodo Trafalgar, con accesorios básicos y guía de uso incluida.</x:v>
      </x:c>
      <x:c r="G101" s="8" t="str">
        <x:v>fair</x:v>
      </x:c>
      <x:c r="H101" s="8" t="str">
        <x:v>available</x:v>
      </x:c>
      <x:c r="I101" s="23" t="n">
        <x:v>30</x:v>
      </x:c>
      <x:c r="J101" s="8" t="n">
        <x:v>7</x:v>
      </x:c>
      <x:c r="K101" s="23" t="n">
        <x:v>38</x:v>
      </x:c>
      <x:c r="L101" s="24" t="n">
        <x:v>2.4</x:v>
      </x:c>
      <x:c r="M101" s="8" t="str">
        <x:v>mobility|chamberí|fair</x:v>
      </x:c>
      <x:c r="N101" s="25" t="str">
        <x:v>2025-07-25</x:v>
      </x:c>
      <x:c r="O101" s="8" t="str">
        <x:f>IF(COUNTIF('Centros'!$A$2:$A$13,B101)=1,"OK","ERROR")</x:f>
        <x:v>OK</x:v>
      </x:c>
    </x:row>
    <x:row r="102">
      <x:c r="A102" s="8" t="str">
        <x:v>ITM-000101</x:v>
      </x:c>
      <x:c r="B102" s="8" t="str">
        <x:v>HUB-MAD-005</x:v>
      </x:c>
      <x:c r="C102" s="8" t="str">
        <x:v>Altavoz autoamplificado</x:v>
      </x:c>
      <x:c r="D102" s="8" t="str">
        <x:v>altavoz-autoamplificado-itm-000101</x:v>
      </x:c>
      <x:c r="E102" s="8" t="str">
        <x:v>events</x:v>
      </x:c>
      <x:c r="F102" s="8" t="str">
        <x:v>Altavoz autoamplificado revisado por el equipo de Nodo Bellas Vistas, con accesorios básicos y guía de uso incluida.</x:v>
      </x:c>
      <x:c r="G102" s="8" t="str">
        <x:v>excellent</x:v>
      </x:c>
      <x:c r="H102" s="8" t="str">
        <x:v>available</x:v>
      </x:c>
      <x:c r="I102" s="23" t="n">
        <x:v>0</x:v>
      </x:c>
      <x:c r="J102" s="8" t="n">
        <x:v>3</x:v>
      </x:c>
      <x:c r="K102" s="23" t="n">
        <x:v>55</x:v>
      </x:c>
      <x:c r="L102" s="24" t="n">
        <x:v>3.7</x:v>
      </x:c>
      <x:c r="M102" s="8" t="str">
        <x:v>events|tetuán|excellent</x:v>
      </x:c>
      <x:c r="N102" s="25" t="str">
        <x:v>2025-07-28</x:v>
      </x:c>
      <x:c r="O102" s="8" t="str">
        <x:f>IF(COUNTIF('Centros'!$A$2:$A$13,B102)=1,"OK","ERROR")</x:f>
        <x:v>OK</x:v>
      </x:c>
    </x:row>
    <x:row r="103">
      <x:c r="A103" s="8" t="str">
        <x:v>ITM-000102</x:v>
      </x:c>
      <x:c r="B103" s="8" t="str">
        <x:v>HUB-MAD-006</x:v>
      </x:c>
      <x:c r="C103" s="8" t="str">
        <x:v>Kit de podcast</x:v>
      </x:c>
      <x:c r="D103" s="8" t="str">
        <x:v>kit-de-podcast-itm-000102</x:v>
      </x:c>
      <x:c r="E103" s="8" t="str">
        <x:v>technology</x:v>
      </x:c>
      <x:c r="F103" s="8" t="str">
        <x:v>Kit de podcast revisado por el equipo de Nodo Opañel, con accesorios básicos y guía de uso incluida.</x:v>
      </x:c>
      <x:c r="G103" s="8" t="str">
        <x:v>good</x:v>
      </x:c>
      <x:c r="H103" s="8" t="str">
        <x:v>available</x:v>
      </x:c>
      <x:c r="I103" s="23" t="n">
        <x:v>10</x:v>
      </x:c>
      <x:c r="J103" s="8" t="n">
        <x:v>4</x:v>
      </x:c>
      <x:c r="K103" s="23" t="n">
        <x:v>72</x:v>
      </x:c>
      <x:c r="L103" s="24" t="n">
        <x:v>5</x:v>
      </x:c>
      <x:c r="M103" s="8" t="str">
        <x:v>technology|carabanchel|good</x:v>
      </x:c>
      <x:c r="N103" s="25" t="str">
        <x:v>2025-07-31</x:v>
      </x:c>
      <x:c r="O103" s="8" t="str">
        <x:f>IF(COUNTIF('Centros'!$A$2:$A$13,B103)=1,"OK","ERROR")</x:f>
        <x:v>OK</x:v>
      </x:c>
    </x:row>
    <x:row r="104">
      <x:c r="A104" s="8" t="str">
        <x:v>ITM-000103</x:v>
      </x:c>
      <x:c r="B104" s="8" t="str">
        <x:v>HUB-MAD-007</x:v>
      </x:c>
      <x:c r="C104" s="8" t="str">
        <x:v>Caja de herramientas</x:v>
      </x:c>
      <x:c r="D104" s="8" t="str">
        <x:v>caja-de-herramientas-itm-000103</x:v>
      </x:c>
      <x:c r="E104" s="8" t="str">
        <x:v>tools</x:v>
      </x:c>
      <x:c r="F104" s="8" t="str">
        <x:v>Caja de herramientas revisado por el equipo de Nodo Almendrales, con accesorios básicos y guía de uso incluida.</x:v>
      </x:c>
      <x:c r="G104" s="8" t="str">
        <x:v>good</x:v>
      </x:c>
      <x:c r="H104" s="8" t="str">
        <x:v>available</x:v>
      </x:c>
      <x:c r="I104" s="23" t="n">
        <x:v>20</x:v>
      </x:c>
      <x:c r="J104" s="8" t="n">
        <x:v>5</x:v>
      </x:c>
      <x:c r="K104" s="23" t="n">
        <x:v>89</x:v>
      </x:c>
      <x:c r="L104" s="24" t="n">
        <x:v>6.3</x:v>
      </x:c>
      <x:c r="M104" s="8" t="str">
        <x:v>tools|usera|good</x:v>
      </x:c>
      <x:c r="N104" s="25" t="str">
        <x:v>2025-08-03</x:v>
      </x:c>
      <x:c r="O104" s="8" t="str">
        <x:f>IF(COUNTIF('Centros'!$A$2:$A$13,B104)=1,"OK","ERROR")</x:f>
        <x:v>OK</x:v>
      </x:c>
    </x:row>
    <x:row r="105">
      <x:c r="A105" s="8" t="str">
        <x:v>ITM-000104</x:v>
      </x:c>
      <x:c r="B105" s="8" t="str">
        <x:v>HUB-MAD-008</x:v>
      </x:c>
      <x:c r="C105" s="8" t="str">
        <x:v>Olla de gran capacidad</x:v>
      </x:c>
      <x:c r="D105" s="8" t="str">
        <x:v>olla-de-gran-capacidad-itm-000104</x:v>
      </x:c>
      <x:c r="E105" s="8" t="str">
        <x:v>kitchen</x:v>
      </x:c>
      <x:c r="F105" s="8" t="str">
        <x:v>Olla de gran capacidad revisado por el equipo de Nodo Numancia, con accesorios básicos y guía de uso incluida.</x:v>
      </x:c>
      <x:c r="G105" s="8" t="str">
        <x:v>fair</x:v>
      </x:c>
      <x:c r="H105" s="8" t="str">
        <x:v>available</x:v>
      </x:c>
      <x:c r="I105" s="23" t="n">
        <x:v>30</x:v>
      </x:c>
      <x:c r="J105" s="8" t="n">
        <x:v>6</x:v>
      </x:c>
      <x:c r="K105" s="23" t="n">
        <x:v>106</x:v>
      </x:c>
      <x:c r="L105" s="24" t="n">
        <x:v>7.6</x:v>
      </x:c>
      <x:c r="M105" s="8" t="str">
        <x:v>kitchen|puente de vallecas|fair</x:v>
      </x:c>
      <x:c r="N105" s="25" t="str">
        <x:v>2025-08-06</x:v>
      </x:c>
      <x:c r="O105" s="8" t="str">
        <x:f>IF(COUNTIF('Centros'!$A$2:$A$13,B105)=1,"OK","ERROR")</x:f>
        <x:v>OK</x:v>
      </x:c>
    </x:row>
    <x:row r="106">
      <x:c r="A106" s="8" t="str">
        <x:v>ITM-000105</x:v>
      </x:c>
      <x:c r="B106" s="8" t="str">
        <x:v>HUB-MAD-009</x:v>
      </x:c>
      <x:c r="C106" s="8" t="str">
        <x:v>Mesa de camping</x:v>
      </x:c>
      <x:c r="D106" s="8" t="str">
        <x:v>mesa-de-camping-itm-000105</x:v>
      </x:c>
      <x:c r="E106" s="8" t="str">
        <x:v>outdoor</x:v>
      </x:c>
      <x:c r="F106" s="8" t="str">
        <x:v>Mesa de camping revisado por el equipo de Nodo Pacífico, con accesorios básicos y guía de uso incluida.</x:v>
      </x:c>
      <x:c r="G106" s="8" t="str">
        <x:v>excellent</x:v>
      </x:c>
      <x:c r="H106" s="8" t="str">
        <x:v>available</x:v>
      </x:c>
      <x:c r="I106" s="23" t="n">
        <x:v>0</x:v>
      </x:c>
      <x:c r="J106" s="8" t="n">
        <x:v>7</x:v>
      </x:c>
      <x:c r="K106" s="23" t="n">
        <x:v>123</x:v>
      </x:c>
      <x:c r="L106" s="24" t="n">
        <x:v>8.9</x:v>
      </x:c>
      <x:c r="M106" s="8" t="str">
        <x:v>outdoor|retiro|excellent</x:v>
      </x:c>
      <x:c r="N106" s="25" t="str">
        <x:v>2025-08-09</x:v>
      </x:c>
      <x:c r="O106" s="8" t="str">
        <x:f>IF(COUNTIF('Centros'!$A$2:$A$13,B106)=1,"OK","ERROR")</x:f>
        <x:v>OK</x:v>
      </x:c>
    </x:row>
    <x:row r="107">
      <x:c r="A107" s="8" t="str">
        <x:v>ITM-000106</x:v>
      </x:c>
      <x:c r="B107" s="8" t="str">
        <x:v>HUB-MAD-010</x:v>
      </x:c>
      <x:c r="C107" s="8" t="str">
        <x:v>Silla infantil para bici</x:v>
      </x:c>
      <x:c r="D107" s="8" t="str">
        <x:v>silla-infantil-para-bici-itm-000106</x:v>
      </x:c>
      <x:c r="E107" s="8" t="str">
        <x:v>mobility</x:v>
      </x:c>
      <x:c r="F107" s="8" t="str">
        <x:v>Silla infantil para bici revisado por el equipo de Nodo Canillas, con accesorios básicos y guía de uso incluida.</x:v>
      </x:c>
      <x:c r="G107" s="8" t="str">
        <x:v>good</x:v>
      </x:c>
      <x:c r="H107" s="8" t="str">
        <x:v>available</x:v>
      </x:c>
      <x:c r="I107" s="23" t="n">
        <x:v>10</x:v>
      </x:c>
      <x:c r="J107" s="8" t="n">
        <x:v>3</x:v>
      </x:c>
      <x:c r="K107" s="23" t="n">
        <x:v>140</x:v>
      </x:c>
      <x:c r="L107" s="24" t="n">
        <x:v>1.7</x:v>
      </x:c>
      <x:c r="M107" s="8" t="str">
        <x:v>mobility|hortaleza|good</x:v>
      </x:c>
      <x:c r="N107" s="25" t="str">
        <x:v>2025-08-12</x:v>
      </x:c>
      <x:c r="O107" s="8" t="str">
        <x:f>IF(COUNTIF('Centros'!$A$2:$A$13,B107)=1,"OK","ERROR")</x:f>
        <x:v>OK</x:v>
      </x:c>
    </x:row>
    <x:row r="108">
      <x:c r="A108" s="8" t="str">
        <x:v>ITM-000107</x:v>
      </x:c>
      <x:c r="B108" s="8" t="str">
        <x:v>HUB-MAD-011</x:v>
      </x:c>
      <x:c r="C108" s="8" t="str">
        <x:v>Guirnalda exterior</x:v>
      </x:c>
      <x:c r="D108" s="8" t="str">
        <x:v>guirnalda-exterior-itm-000107</x:v>
      </x:c>
      <x:c r="E108" s="8" t="str">
        <x:v>events</x:v>
      </x:c>
      <x:c r="F108" s="8" t="str">
        <x:v>Guirnalda exterior revisado por el equipo de Nodo Puerta del Ángel, con accesorios básicos y guía de uso incluida.</x:v>
      </x:c>
      <x:c r="G108" s="8" t="str">
        <x:v>good</x:v>
      </x:c>
      <x:c r="H108" s="8" t="str">
        <x:v>available</x:v>
      </x:c>
      <x:c r="I108" s="23" t="n">
        <x:v>20</x:v>
      </x:c>
      <x:c r="J108" s="8" t="n">
        <x:v>4</x:v>
      </x:c>
      <x:c r="K108" s="23" t="n">
        <x:v>157</x:v>
      </x:c>
      <x:c r="L108" s="24" t="n">
        <x:v>3</x:v>
      </x:c>
      <x:c r="M108" s="8" t="str">
        <x:v>events|latina|good</x:v>
      </x:c>
      <x:c r="N108" s="25" t="str">
        <x:v>2025-08-15</x:v>
      </x:c>
      <x:c r="O108" s="8" t="str">
        <x:f>IF(COUNTIF('Centros'!$A$2:$A$13,B108)=1,"OK","ERROR")</x:f>
        <x:v>OK</x:v>
      </x:c>
    </x:row>
    <x:row r="109">
      <x:c r="A109" s="8" t="str">
        <x:v>ITM-000108</x:v>
      </x:c>
      <x:c r="B109" s="8" t="str">
        <x:v>HUB-MAD-012</x:v>
      </x:c>
      <x:c r="C109" s="8" t="str">
        <x:v>Cámara instantánea</x:v>
      </x:c>
      <x:c r="D109" s="8" t="str">
        <x:v>camara-instantanea-itm-000108</x:v>
      </x:c>
      <x:c r="E109" s="8" t="str">
        <x:v>technology</x:v>
      </x:c>
      <x:c r="F109" s="8" t="str">
        <x:v>Cámara instantánea revisado por el equipo de Nodo Argüelles, con accesorios básicos y guía de uso incluida.</x:v>
      </x:c>
      <x:c r="G109" s="8" t="str">
        <x:v>fair</x:v>
      </x:c>
      <x:c r="H109" s="8" t="str">
        <x:v>available</x:v>
      </x:c>
      <x:c r="I109" s="23" t="n">
        <x:v>30</x:v>
      </x:c>
      <x:c r="J109" s="8" t="n">
        <x:v>5</x:v>
      </x:c>
      <x:c r="K109" s="23" t="n">
        <x:v>174</x:v>
      </x:c>
      <x:c r="L109" s="24" t="n">
        <x:v>4.3</x:v>
      </x:c>
      <x:c r="M109" s="8" t="str">
        <x:v>technology|moncloa-aravaca|fair</x:v>
      </x:c>
      <x:c r="N109" s="25" t="str">
        <x:v>2025-08-18</x:v>
      </x:c>
      <x:c r="O109" s="8" t="str">
        <x:f>IF(COUNTIF('Centros'!$A$2:$A$13,B109)=1,"OK","ERROR")</x:f>
        <x:v>OK</x:v>
      </x:c>
    </x:row>
    <x:row r="110">
      <x:c r="A110" s="8" t="str">
        <x:v>ITM-000109</x:v>
      </x:c>
      <x:c r="B110" s="8" t="str">
        <x:v>HUB-MAD-001</x:v>
      </x:c>
      <x:c r="C110" s="8" t="str">
        <x:v>Hidrolimpiadora compacta</x:v>
      </x:c>
      <x:c r="D110" s="8" t="str">
        <x:v>hidrolimpiadora-compacta-itm-000109</x:v>
      </x:c>
      <x:c r="E110" s="8" t="str">
        <x:v>tools</x:v>
      </x:c>
      <x:c r="F110" s="8" t="str">
        <x:v>Hidrolimpiadora compacta revisado por el equipo de Nodo Malasaña, con accesorios básicos y guía de uso incluida.</x:v>
      </x:c>
      <x:c r="G110" s="8" t="str">
        <x:v>excellent</x:v>
      </x:c>
      <x:c r="H110" s="8" t="str">
        <x:v>available</x:v>
      </x:c>
      <x:c r="I110" s="23" t="n">
        <x:v>0</x:v>
      </x:c>
      <x:c r="J110" s="8" t="n">
        <x:v>6</x:v>
      </x:c>
      <x:c r="K110" s="23" t="n">
        <x:v>191</x:v>
      </x:c>
      <x:c r="L110" s="24" t="n">
        <x:v>5.6</x:v>
      </x:c>
      <x:c r="M110" s="8" t="str">
        <x:v>tools|centro|excellent</x:v>
      </x:c>
      <x:c r="N110" s="25" t="str">
        <x:v>2025-08-21</x:v>
      </x:c>
      <x:c r="O110" s="8" t="str">
        <x:f>IF(COUNTIF('Centros'!$A$2:$A$13,B110)=1,"OK","ERROR")</x:f>
        <x:v>OK</x:v>
      </x:c>
    </x:row>
    <x:row r="111">
      <x:c r="A111" s="8" t="str">
        <x:v>ITM-000110</x:v>
      </x:c>
      <x:c r="B111" s="8" t="str">
        <x:v>HUB-MAD-002</x:v>
      </x:c>
      <x:c r="C111" s="8" t="str">
        <x:v>Máquina de pasta</x:v>
      </x:c>
      <x:c r="D111" s="8" t="str">
        <x:v>maquina-de-pasta-itm-000110</x:v>
      </x:c>
      <x:c r="E111" s="8" t="str">
        <x:v>kitchen</x:v>
      </x:c>
      <x:c r="F111" s="8" t="str">
        <x:v>Máquina de pasta revisado por el equipo de Nodo Lavapiés, con accesorios básicos y guía de uso incluida.</x:v>
      </x:c>
      <x:c r="G111" s="8" t="str">
        <x:v>good</x:v>
      </x:c>
      <x:c r="H111" s="8" t="str">
        <x:v>available</x:v>
      </x:c>
      <x:c r="I111" s="23" t="n">
        <x:v>10</x:v>
      </x:c>
      <x:c r="J111" s="8" t="n">
        <x:v>7</x:v>
      </x:c>
      <x:c r="K111" s="23" t="n">
        <x:v>208</x:v>
      </x:c>
      <x:c r="L111" s="24" t="n">
        <x:v>6.9</x:v>
      </x:c>
      <x:c r="M111" s="8" t="str">
        <x:v>kitchen|centro|good</x:v>
      </x:c>
      <x:c r="N111" s="25" t="str">
        <x:v>2025-08-24</x:v>
      </x:c>
      <x:c r="O111" s="8" t="str">
        <x:f>IF(COUNTIF('Centros'!$A$2:$A$13,B111)=1,"OK","ERROR")</x:f>
        <x:v>OK</x:v>
      </x:c>
    </x:row>
    <x:row r="112">
      <x:c r="A112" s="8" t="str">
        <x:v>ITM-000111</x:v>
      </x:c>
      <x:c r="B112" s="8" t="str">
        <x:v>HUB-MAD-003</x:v>
      </x:c>
      <x:c r="C112" s="8" t="str">
        <x:v>Prismáticos 10x42</x:v>
      </x:c>
      <x:c r="D112" s="8" t="str">
        <x:v>prismaticos-10x42-itm-000111</x:v>
      </x:c>
      <x:c r="E112" s="8" t="str">
        <x:v>outdoor</x:v>
      </x:c>
      <x:c r="F112" s="8" t="str">
        <x:v>Prismáticos 10x42 revisado por el equipo de Nodo Palos de Moguer, con accesorios básicos y guía de uso incluida.</x:v>
      </x:c>
      <x:c r="G112" s="8" t="str">
        <x:v>good</x:v>
      </x:c>
      <x:c r="H112" s="8" t="str">
        <x:v>available</x:v>
      </x:c>
      <x:c r="I112" s="23" t="n">
        <x:v>20</x:v>
      </x:c>
      <x:c r="J112" s="8" t="n">
        <x:v>3</x:v>
      </x:c>
      <x:c r="K112" s="23" t="n">
        <x:v>225</x:v>
      </x:c>
      <x:c r="L112" s="24" t="n">
        <x:v>8.2</x:v>
      </x:c>
      <x:c r="M112" s="8" t="str">
        <x:v>outdoor|arganzuela|good</x:v>
      </x:c>
      <x:c r="N112" s="25" t="str">
        <x:v>2025-08-27</x:v>
      </x:c>
      <x:c r="O112" s="8" t="str">
        <x:f>IF(COUNTIF('Centros'!$A$2:$A$13,B112)=1,"OK","ERROR")</x:f>
        <x:v>OK</x:v>
      </x:c>
    </x:row>
    <x:row r="113">
      <x:c r="A113" s="8" t="str">
        <x:v>ITM-000112</x:v>
      </x:c>
      <x:c r="B113" s="8" t="str">
        <x:v>HUB-MAD-004</x:v>
      </x:c>
      <x:c r="C113" s="8" t="str">
        <x:v>Bomba de pie</x:v>
      </x:c>
      <x:c r="D113" s="8" t="str">
        <x:v>bomba-de-pie-itm-000112</x:v>
      </x:c>
      <x:c r="E113" s="8" t="str">
        <x:v>mobility</x:v>
      </x:c>
      <x:c r="F113" s="8" t="str">
        <x:v>Bomba de pie revisado por el equipo de Nodo Trafalgar, con accesorios básicos y guía de uso incluida.</x:v>
      </x:c>
      <x:c r="G113" s="8" t="str">
        <x:v>fair</x:v>
      </x:c>
      <x:c r="H113" s="8" t="str">
        <x:v>available</x:v>
      </x:c>
      <x:c r="I113" s="23" t="n">
        <x:v>30</x:v>
      </x:c>
      <x:c r="J113" s="8" t="n">
        <x:v>4</x:v>
      </x:c>
      <x:c r="K113" s="23" t="n">
        <x:v>242</x:v>
      </x:c>
      <x:c r="L113" s="24" t="n">
        <x:v>9.5</x:v>
      </x:c>
      <x:c r="M113" s="8" t="str">
        <x:v>mobility|chamberí|fair</x:v>
      </x:c>
      <x:c r="N113" s="25" t="str">
        <x:v>2025-08-30</x:v>
      </x:c>
      <x:c r="O113" s="8" t="str">
        <x:f>IF(COUNTIF('Centros'!$A$2:$A$13,B113)=1,"OK","ERROR")</x:f>
        <x:v>OK</x:v>
      </x:c>
    </x:row>
    <x:row r="114">
      <x:c r="A114" s="8" t="str">
        <x:v>ITM-000113</x:v>
      </x:c>
      <x:c r="B114" s="8" t="str">
        <x:v>HUB-MAD-005</x:v>
      </x:c>
      <x:c r="C114" s="8" t="str">
        <x:v>Carpa plegable 3x3</x:v>
      </x:c>
      <x:c r="D114" s="8" t="str">
        <x:v>carpa-plegable-3x3-itm-000113</x:v>
      </x:c>
      <x:c r="E114" s="8" t="str">
        <x:v>events</x:v>
      </x:c>
      <x:c r="F114" s="8" t="str">
        <x:v>Carpa plegable 3x3 revisado por el equipo de Nodo Bellas Vistas, con accesorios básicos y guía de uso incluida.</x:v>
      </x:c>
      <x:c r="G114" s="8" t="str">
        <x:v>excellent</x:v>
      </x:c>
      <x:c r="H114" s="8" t="str">
        <x:v>available</x:v>
      </x:c>
      <x:c r="I114" s="23" t="n">
        <x:v>0</x:v>
      </x:c>
      <x:c r="J114" s="8" t="n">
        <x:v>5</x:v>
      </x:c>
      <x:c r="K114" s="23" t="n">
        <x:v>259</x:v>
      </x:c>
      <x:c r="L114" s="24" t="n">
        <x:v>2.3</x:v>
      </x:c>
      <x:c r="M114" s="8" t="str">
        <x:v>events|tetuán|excellent</x:v>
      </x:c>
      <x:c r="N114" s="25" t="str">
        <x:v>2025-09-02</x:v>
      </x:c>
      <x:c r="O114" s="8" t="str">
        <x:f>IF(COUNTIF('Centros'!$A$2:$A$13,B114)=1,"OK","ERROR")</x:f>
        <x:v>OK</x:v>
      </x:c>
    </x:row>
    <x:row r="115">
      <x:c r="A115" s="8" t="str">
        <x:v>ITM-000114</x:v>
      </x:c>
      <x:c r="B115" s="8" t="str">
        <x:v>HUB-MAD-006</x:v>
      </x:c>
      <x:c r="C115" s="8" t="str">
        <x:v>Medidor láser</x:v>
      </x:c>
      <x:c r="D115" s="8" t="str">
        <x:v>medidor-laser-itm-000114</x:v>
      </x:c>
      <x:c r="E115" s="8" t="str">
        <x:v>technology</x:v>
      </x:c>
      <x:c r="F115" s="8" t="str">
        <x:v>Medidor láser revisado por el equipo de Nodo Opañel, con accesorios básicos y guía de uso incluida.</x:v>
      </x:c>
      <x:c r="G115" s="8" t="str">
        <x:v>good</x:v>
      </x:c>
      <x:c r="H115" s="8" t="str">
        <x:v>available</x:v>
      </x:c>
      <x:c r="I115" s="23" t="n">
        <x:v>10</x:v>
      </x:c>
      <x:c r="J115" s="8" t="n">
        <x:v>6</x:v>
      </x:c>
      <x:c r="K115" s="23" t="n">
        <x:v>36</x:v>
      </x:c>
      <x:c r="L115" s="24" t="n">
        <x:v>3.6</x:v>
      </x:c>
      <x:c r="M115" s="8" t="str">
        <x:v>technology|carabanchel|good</x:v>
      </x:c>
      <x:c r="N115" s="25" t="str">
        <x:v>2025-09-05</x:v>
      </x:c>
      <x:c r="O115" s="8" t="str">
        <x:f>IF(COUNTIF('Centros'!$A$2:$A$13,B115)=1,"OK","ERROR")</x:f>
        <x:v>OK</x:v>
      </x:c>
    </x:row>
    <x:row r="116">
      <x:c r="A116" s="8" t="str">
        <x:v>ITM-000115</x:v>
      </x:c>
      <x:c r="B116" s="8" t="str">
        <x:v>HUB-MAD-007</x:v>
      </x:c>
      <x:c r="C116" s="8" t="str">
        <x:v>Sierra de calar</x:v>
      </x:c>
      <x:c r="D116" s="8" t="str">
        <x:v>sierra-de-calar-itm-000115</x:v>
      </x:c>
      <x:c r="E116" s="8" t="str">
        <x:v>tools</x:v>
      </x:c>
      <x:c r="F116" s="8" t="str">
        <x:v>Sierra de calar revisado por el equipo de Nodo Almendrales, con accesorios básicos y guía de uso incluida.</x:v>
      </x:c>
      <x:c r="G116" s="8" t="str">
        <x:v>good</x:v>
      </x:c>
      <x:c r="H116" s="8" t="str">
        <x:v>available</x:v>
      </x:c>
      <x:c r="I116" s="23" t="n">
        <x:v>20</x:v>
      </x:c>
      <x:c r="J116" s="8" t="n">
        <x:v>7</x:v>
      </x:c>
      <x:c r="K116" s="23" t="n">
        <x:v>53</x:v>
      </x:c>
      <x:c r="L116" s="24" t="n">
        <x:v>4.9</x:v>
      </x:c>
      <x:c r="M116" s="8" t="str">
        <x:v>tools|usera|good</x:v>
      </x:c>
      <x:c r="N116" s="25" t="str">
        <x:v>2025-09-08</x:v>
      </x:c>
      <x:c r="O116" s="8" t="str">
        <x:f>IF(COUNTIF('Centros'!$A$2:$A$13,B116)=1,"OK","ERROR")</x:f>
        <x:v>OK</x:v>
      </x:c>
    </x:row>
    <x:row r="117">
      <x:c r="A117" s="8" t="str">
        <x:v>ITM-000116</x:v>
      </x:c>
      <x:c r="B117" s="8" t="str">
        <x:v>HUB-MAD-008</x:v>
      </x:c>
      <x:c r="C117" s="8" t="str">
        <x:v>Batidora de vaso</x:v>
      </x:c>
      <x:c r="D117" s="8" t="str">
        <x:v>batidora-de-vaso-itm-000116</x:v>
      </x:c>
      <x:c r="E117" s="8" t="str">
        <x:v>kitchen</x:v>
      </x:c>
      <x:c r="F117" s="8" t="str">
        <x:v>Batidora de vaso revisado por el equipo de Nodo Numancia, con accesorios básicos y guía de uso incluida.</x:v>
      </x:c>
      <x:c r="G117" s="8" t="str">
        <x:v>fair</x:v>
      </x:c>
      <x:c r="H117" s="8" t="str">
        <x:v>available</x:v>
      </x:c>
      <x:c r="I117" s="23" t="n">
        <x:v>30</x:v>
      </x:c>
      <x:c r="J117" s="8" t="n">
        <x:v>3</x:v>
      </x:c>
      <x:c r="K117" s="23" t="n">
        <x:v>70</x:v>
      </x:c>
      <x:c r="L117" s="24" t="n">
        <x:v>6.2</x:v>
      </x:c>
      <x:c r="M117" s="8" t="str">
        <x:v>kitchen|puente de vallecas|fair</x:v>
      </x:c>
      <x:c r="N117" s="25" t="str">
        <x:v>2025-09-11</x:v>
      </x:c>
      <x:c r="O117" s="8" t="str">
        <x:f>IF(COUNTIF('Centros'!$A$2:$A$13,B117)=1,"OK","ERROR")</x:f>
        <x:v>OK</x:v>
      </x:c>
    </x:row>
    <x:row r="118">
      <x:c r="A118" s="8" t="str">
        <x:v>ITM-000117</x:v>
      </x:c>
      <x:c r="B118" s="8" t="str">
        <x:v>HUB-MAD-009</x:v>
      </x:c>
      <x:c r="C118" s="8" t="str">
        <x:v>Saco de dormir</x:v>
      </x:c>
      <x:c r="D118" s="8" t="str">
        <x:v>saco-de-dormir-itm-000117</x:v>
      </x:c>
      <x:c r="E118" s="8" t="str">
        <x:v>outdoor</x:v>
      </x:c>
      <x:c r="F118" s="8" t="str">
        <x:v>Saco de dormir revisado por el equipo de Nodo Pacífico, con accesorios básicos y guía de uso incluida.</x:v>
      </x:c>
      <x:c r="G118" s="8" t="str">
        <x:v>excellent</x:v>
      </x:c>
      <x:c r="H118" s="8" t="str">
        <x:v>maintenance</x:v>
      </x:c>
      <x:c r="I118" s="23" t="n">
        <x:v>0</x:v>
      </x:c>
      <x:c r="J118" s="8" t="n">
        <x:v>4</x:v>
      </x:c>
      <x:c r="K118" s="23" t="n">
        <x:v>87</x:v>
      </x:c>
      <x:c r="L118" s="24" t="n">
        <x:v>7.5</x:v>
      </x:c>
      <x:c r="M118" s="8" t="str">
        <x:v>outdoor|retiro|excellent</x:v>
      </x:c>
      <x:c r="N118" s="25" t="str">
        <x:v>2025-09-14</x:v>
      </x:c>
      <x:c r="O118" s="8" t="str">
        <x:f>IF(COUNTIF('Centros'!$A$2:$A$13,B118)=1,"OK","ERROR")</x:f>
        <x:v>OK</x:v>
      </x:c>
    </x:row>
    <x:row r="119">
      <x:c r="A119" s="8" t="str">
        <x:v>ITM-000118</x:v>
      </x:c>
      <x:c r="B119" s="8" t="str">
        <x:v>HUB-MAD-010</x:v>
      </x:c>
      <x:c r="C119" s="8" t="str">
        <x:v>Kit reparación de bici</x:v>
      </x:c>
      <x:c r="D119" s="8" t="str">
        <x:v>kit-reparacion-de-bici-itm-000118</x:v>
      </x:c>
      <x:c r="E119" s="8" t="str">
        <x:v>mobility</x:v>
      </x:c>
      <x:c r="F119" s="8" t="str">
        <x:v>Kit reparación de bici revisado por el equipo de Nodo Canillas, con accesorios básicos y guía de uso incluida.</x:v>
      </x:c>
      <x:c r="G119" s="8" t="str">
        <x:v>good</x:v>
      </x:c>
      <x:c r="H119" s="8" t="str">
        <x:v>available</x:v>
      </x:c>
      <x:c r="I119" s="23" t="n">
        <x:v>10</x:v>
      </x:c>
      <x:c r="J119" s="8" t="n">
        <x:v>5</x:v>
      </x:c>
      <x:c r="K119" s="23" t="n">
        <x:v>104</x:v>
      </x:c>
      <x:c r="L119" s="24" t="n">
        <x:v>8.8</x:v>
      </x:c>
      <x:c r="M119" s="8" t="str">
        <x:v>mobility|hortaleza|good</x:v>
      </x:c>
      <x:c r="N119" s="25" t="str">
        <x:v>2025-09-17</x:v>
      </x:c>
      <x:c r="O119" s="8" t="str">
        <x:f>IF(COUNTIF('Centros'!$A$2:$A$13,B119)=1,"OK","ERROR")</x:f>
        <x:v>OK</x:v>
      </x:c>
    </x:row>
    <x:row r="120">
      <x:c r="A120" s="8" t="str">
        <x:v>ITM-000119</x:v>
      </x:c>
      <x:c r="B120" s="8" t="str">
        <x:v>HUB-MAD-011</x:v>
      </x:c>
      <x:c r="C120" s="8" t="str">
        <x:v>Pack de 30 sillas</x:v>
      </x:c>
      <x:c r="D120" s="8" t="str">
        <x:v>pack-de-30-sillas-itm-000119</x:v>
      </x:c>
      <x:c r="E120" s="8" t="str">
        <x:v>events</x:v>
      </x:c>
      <x:c r="F120" s="8" t="str">
        <x:v>Pack de 30 sillas revisado por el equipo de Nodo Puerta del Ángel, con accesorios básicos y guía de uso incluida.</x:v>
      </x:c>
      <x:c r="G120" s="8" t="str">
        <x:v>good</x:v>
      </x:c>
      <x:c r="H120" s="8" t="str">
        <x:v>available</x:v>
      </x:c>
      <x:c r="I120" s="23" t="n">
        <x:v>20</x:v>
      </x:c>
      <x:c r="J120" s="8" t="n">
        <x:v>6</x:v>
      </x:c>
      <x:c r="K120" s="23" t="n">
        <x:v>121</x:v>
      </x:c>
      <x:c r="L120" s="24" t="n">
        <x:v>1.6</x:v>
      </x:c>
      <x:c r="M120" s="8" t="str">
        <x:v>events|latina|good</x:v>
      </x:c>
      <x:c r="N120" s="25" t="str">
        <x:v>2025-09-20</x:v>
      </x:c>
      <x:c r="O120" s="8" t="str">
        <x:f>IF(COUNTIF('Centros'!$A$2:$A$13,B120)=1,"OK","ERROR")</x:f>
        <x:v>OK</x:v>
      </x:c>
    </x:row>
    <x:row r="121">
      <x:c r="A121" s="8" t="str">
        <x:v>ITM-000120</x:v>
      </x:c>
      <x:c r="B121" s="8" t="str">
        <x:v>HUB-MAD-012</x:v>
      </x:c>
      <x:c r="C121" s="8" t="str">
        <x:v>Tablet gráfica</x:v>
      </x:c>
      <x:c r="D121" s="8" t="str">
        <x:v>tablet-grafica-itm-000120</x:v>
      </x:c>
      <x:c r="E121" s="8" t="str">
        <x:v>technology</x:v>
      </x:c>
      <x:c r="F121" s="8" t="str">
        <x:v>Tablet gráfica revisado por el equipo de Nodo Argüelles, con accesorios básicos y guía de uso incluida.</x:v>
      </x:c>
      <x:c r="G121" s="8" t="str">
        <x:v>fair</x:v>
      </x:c>
      <x:c r="H121" s="8" t="str">
        <x:v>available</x:v>
      </x:c>
      <x:c r="I121" s="23" t="n">
        <x:v>30</x:v>
      </x:c>
      <x:c r="J121" s="8" t="n">
        <x:v>7</x:v>
      </x:c>
      <x:c r="K121" s="23" t="n">
        <x:v>138</x:v>
      </x:c>
      <x:c r="L121" s="24" t="n">
        <x:v>2.9</x:v>
      </x:c>
      <x:c r="M121" s="8" t="str">
        <x:v>technology|moncloa-aravaca|fair</x:v>
      </x:c>
      <x:c r="N121" s="25" t="str">
        <x:v>2025-09-23</x:v>
      </x:c>
      <x:c r="O121" s="8" t="str">
        <x:f>IF(COUNTIF('Centros'!$A$2:$A$13,B121)=1,"OK","ERROR")</x:f>
        <x:v>OK</x:v>
      </x:c>
    </x:row>
    <x:row r="122">
      <x:c r="A122" s="8" t="str">
        <x:v>ITM-000121</x:v>
      </x:c>
      <x:c r="B122" s="8" t="str">
        <x:v>HUB-MAD-001</x:v>
      </x:c>
      <x:c r="C122" s="8" t="str">
        <x:v>Taladro percutor 18V</x:v>
      </x:c>
      <x:c r="D122" s="8" t="str">
        <x:v>taladro-percutor-18v-itm-000121</x:v>
      </x:c>
      <x:c r="E122" s="8" t="str">
        <x:v>tools</x:v>
      </x:c>
      <x:c r="F122" s="8" t="str">
        <x:v>Taladro percutor 18V revisado por el equipo de Nodo Malasaña, con accesorios básicos y guía de uso incluida.</x:v>
      </x:c>
      <x:c r="G122" s="8" t="str">
        <x:v>excellent</x:v>
      </x:c>
      <x:c r="H122" s="8" t="str">
        <x:v>available</x:v>
      </x:c>
      <x:c r="I122" s="23" t="n">
        <x:v>0</x:v>
      </x:c>
      <x:c r="J122" s="8" t="n">
        <x:v>3</x:v>
      </x:c>
      <x:c r="K122" s="23" t="n">
        <x:v>155</x:v>
      </x:c>
      <x:c r="L122" s="24" t="n">
        <x:v>4.2</x:v>
      </x:c>
      <x:c r="M122" s="8" t="str">
        <x:v>tools|centro|excellent</x:v>
      </x:c>
      <x:c r="N122" s="25" t="str">
        <x:v>2025-09-26</x:v>
      </x:c>
      <x:c r="O122" s="8" t="str">
        <x:f>IF(COUNTIF('Centros'!$A$2:$A$13,B122)=1,"OK","ERROR")</x:f>
        <x:v>OK</x:v>
      </x:c>
    </x:row>
    <x:row r="123">
      <x:c r="A123" s="8" t="str">
        <x:v>ITM-000122</x:v>
      </x:c>
      <x:c r="B123" s="8" t="str">
        <x:v>HUB-MAD-002</x:v>
      </x:c>
      <x:c r="C123" s="8" t="str">
        <x:v>Vajilla para 24 personas</x:v>
      </x:c>
      <x:c r="D123" s="8" t="str">
        <x:v>vajilla-para-24-personas-itm-000122</x:v>
      </x:c>
      <x:c r="E123" s="8" t="str">
        <x:v>kitchen</x:v>
      </x:c>
      <x:c r="F123" s="8" t="str">
        <x:v>Vajilla para 24 personas revisado por el equipo de Nodo Lavapiés, con accesorios básicos y guía de uso incluida.</x:v>
      </x:c>
      <x:c r="G123" s="8" t="str">
        <x:v>good</x:v>
      </x:c>
      <x:c r="H123" s="8" t="str">
        <x:v>available</x:v>
      </x:c>
      <x:c r="I123" s="23" t="n">
        <x:v>10</x:v>
      </x:c>
      <x:c r="J123" s="8" t="n">
        <x:v>4</x:v>
      </x:c>
      <x:c r="K123" s="23" t="n">
        <x:v>172</x:v>
      </x:c>
      <x:c r="L123" s="24" t="n">
        <x:v>5.5</x:v>
      </x:c>
      <x:c r="M123" s="8" t="str">
        <x:v>kitchen|centro|good</x:v>
      </x:c>
      <x:c r="N123" s="25" t="str">
        <x:v>2025-09-29</x:v>
      </x:c>
      <x:c r="O123" s="8" t="str">
        <x:f>IF(COUNTIF('Centros'!$A$2:$A$13,B123)=1,"OK","ERROR")</x:f>
        <x:v>OK</x:v>
      </x:c>
    </x:row>
    <x:row r="124">
      <x:c r="A124" s="8" t="str">
        <x:v>ITM-000123</x:v>
      </x:c>
      <x:c r="B124" s="8" t="str">
        <x:v>HUB-MAD-003</x:v>
      </x:c>
      <x:c r="C124" s="8" t="str">
        <x:v>Tienda de campaña 3P</x:v>
      </x:c>
      <x:c r="D124" s="8" t="str">
        <x:v>tienda-de-campana-3p-itm-000123</x:v>
      </x:c>
      <x:c r="E124" s="8" t="str">
        <x:v>outdoor</x:v>
      </x:c>
      <x:c r="F124" s="8" t="str">
        <x:v>Tienda de campaña 3P revisado por el equipo de Nodo Palos de Moguer, con accesorios básicos y guía de uso incluida.</x:v>
      </x:c>
      <x:c r="G124" s="8" t="str">
        <x:v>good</x:v>
      </x:c>
      <x:c r="H124" s="8" t="str">
        <x:v>available</x:v>
      </x:c>
      <x:c r="I124" s="23" t="n">
        <x:v>20</x:v>
      </x:c>
      <x:c r="J124" s="8" t="n">
        <x:v>5</x:v>
      </x:c>
      <x:c r="K124" s="23" t="n">
        <x:v>189</x:v>
      </x:c>
      <x:c r="L124" s="24" t="n">
        <x:v>6.8</x:v>
      </x:c>
      <x:c r="M124" s="8" t="str">
        <x:v>outdoor|arganzuela|good</x:v>
      </x:c>
      <x:c r="N124" s="25" t="str">
        <x:v>2025-10-02</x:v>
      </x:c>
      <x:c r="O124" s="8" t="str">
        <x:f>IF(COUNTIF('Centros'!$A$2:$A$13,B124)=1,"OK","ERROR")</x:f>
        <x:v>OK</x:v>
      </x:c>
    </x:row>
    <x:row r="125">
      <x:c r="A125" s="8" t="str">
        <x:v>ITM-000124</x:v>
      </x:c>
      <x:c r="B125" s="8" t="str">
        <x:v>HUB-MAD-004</x:v>
      </x:c>
      <x:c r="C125" s="8" t="str">
        <x:v>Bicicleta urbana</x:v>
      </x:c>
      <x:c r="D125" s="8" t="str">
        <x:v>bicicleta-urbana-itm-000124</x:v>
      </x:c>
      <x:c r="E125" s="8" t="str">
        <x:v>mobility</x:v>
      </x:c>
      <x:c r="F125" s="8" t="str">
        <x:v>Bicicleta urbana revisado por el equipo de Nodo Trafalgar, con accesorios básicos y guía de uso incluida.</x:v>
      </x:c>
      <x:c r="G125" s="8" t="str">
        <x:v>fair</x:v>
      </x:c>
      <x:c r="H125" s="8" t="str">
        <x:v>available</x:v>
      </x:c>
      <x:c r="I125" s="23" t="n">
        <x:v>30</x:v>
      </x:c>
      <x:c r="J125" s="8" t="n">
        <x:v>6</x:v>
      </x:c>
      <x:c r="K125" s="23" t="n">
        <x:v>206</x:v>
      </x:c>
      <x:c r="L125" s="24" t="n">
        <x:v>8.1</x:v>
      </x:c>
      <x:c r="M125" s="8" t="str">
        <x:v>mobility|chamberí|fair</x:v>
      </x:c>
      <x:c r="N125" s="25" t="str">
        <x:v>2025-10-05</x:v>
      </x:c>
      <x:c r="O125" s="8" t="str">
        <x:f>IF(COUNTIF('Centros'!$A$2:$A$13,B125)=1,"OK","ERROR")</x:f>
        <x:v>OK</x:v>
      </x:c>
    </x:row>
    <x:row r="126">
      <x:c r="A126" s="8" t="str">
        <x:v>ITM-000125</x:v>
      </x:c>
      <x:c r="B126" s="8" t="str">
        <x:v>HUB-MAD-005</x:v>
      </x:c>
      <x:c r="C126" s="8" t="str">
        <x:v>Proyector portátil</x:v>
      </x:c>
      <x:c r="D126" s="8" t="str">
        <x:v>proyector-portatil-itm-000125</x:v>
      </x:c>
      <x:c r="E126" s="8" t="str">
        <x:v>events</x:v>
      </x:c>
      <x:c r="F126" s="8" t="str">
        <x:v>Proyector portátil revisado por el equipo de Nodo Bellas Vistas, con accesorios básicos y guía de uso incluida.</x:v>
      </x:c>
      <x:c r="G126" s="8" t="str">
        <x:v>excellent</x:v>
      </x:c>
      <x:c r="H126" s="8" t="str">
        <x:v>available</x:v>
      </x:c>
      <x:c r="I126" s="23" t="n">
        <x:v>0</x:v>
      </x:c>
      <x:c r="J126" s="8" t="n">
        <x:v>7</x:v>
      </x:c>
      <x:c r="K126" s="23" t="n">
        <x:v>223</x:v>
      </x:c>
      <x:c r="L126" s="24" t="n">
        <x:v>9.4</x:v>
      </x:c>
      <x:c r="M126" s="8" t="str">
        <x:v>events|tetuán|excellent</x:v>
      </x:c>
      <x:c r="N126" s="25" t="str">
        <x:v>2025-10-08</x:v>
      </x:c>
      <x:c r="O126" s="8" t="str">
        <x:f>IF(COUNTIF('Centros'!$A$2:$A$13,B126)=1,"OK","ERROR")</x:f>
        <x:v>OK</x:v>
      </x:c>
    </x:row>
    <x:row r="127">
      <x:c r="A127" s="8" t="str">
        <x:v>ITM-000126</x:v>
      </x:c>
      <x:c r="B127" s="8" t="str">
        <x:v>HUB-MAD-006</x:v>
      </x:c>
      <x:c r="C127" s="8" t="str">
        <x:v>Escáner documental</x:v>
      </x:c>
      <x:c r="D127" s="8" t="str">
        <x:v>escaner-documental-itm-000126</x:v>
      </x:c>
      <x:c r="E127" s="8" t="str">
        <x:v>technology</x:v>
      </x:c>
      <x:c r="F127" s="8" t="str">
        <x:v>Escáner documental revisado por el equipo de Nodo Opañel, con accesorios básicos y guía de uso incluida.</x:v>
      </x:c>
      <x:c r="G127" s="8" t="str">
        <x:v>good</x:v>
      </x:c>
      <x:c r="H127" s="8" t="str">
        <x:v>available</x:v>
      </x:c>
      <x:c r="I127" s="23" t="n">
        <x:v>10</x:v>
      </x:c>
      <x:c r="J127" s="8" t="n">
        <x:v>3</x:v>
      </x:c>
      <x:c r="K127" s="23" t="n">
        <x:v>240</x:v>
      </x:c>
      <x:c r="L127" s="24" t="n">
        <x:v>2.2</x:v>
      </x:c>
      <x:c r="M127" s="8" t="str">
        <x:v>technology|carabanchel|good</x:v>
      </x:c>
      <x:c r="N127" s="25" t="str">
        <x:v>2025-10-11</x:v>
      </x:c>
      <x:c r="O127" s="8" t="str">
        <x:f>IF(COUNTIF('Centros'!$A$2:$A$13,B127)=1,"OK","ERROR")</x:f>
        <x:v>OK</x:v>
      </x:c>
    </x:row>
    <x:row r="128">
      <x:c r="A128" s="8" t="str">
        <x:v>ITM-000127</x:v>
      </x:c>
      <x:c r="B128" s="8" t="str">
        <x:v>HUB-MAD-007</x:v>
      </x:c>
      <x:c r="C128" s="8" t="str">
        <x:v>Lijadora orbital</x:v>
      </x:c>
      <x:c r="D128" s="8" t="str">
        <x:v>lijadora-orbital-itm-000127</x:v>
      </x:c>
      <x:c r="E128" s="8" t="str">
        <x:v>tools</x:v>
      </x:c>
      <x:c r="F128" s="8" t="str">
        <x:v>Lijadora orbital revisado por el equipo de Nodo Almendrales, con accesorios básicos y guía de uso incluida.</x:v>
      </x:c>
      <x:c r="G128" s="8" t="str">
        <x:v>good</x:v>
      </x:c>
      <x:c r="H128" s="8" t="str">
        <x:v>available</x:v>
      </x:c>
      <x:c r="I128" s="23" t="n">
        <x:v>20</x:v>
      </x:c>
      <x:c r="J128" s="8" t="n">
        <x:v>4</x:v>
      </x:c>
      <x:c r="K128" s="23" t="n">
        <x:v>257</x:v>
      </x:c>
      <x:c r="L128" s="24" t="n">
        <x:v>3.5</x:v>
      </x:c>
      <x:c r="M128" s="8" t="str">
        <x:v>tools|usera|good</x:v>
      </x:c>
      <x:c r="N128" s="25" t="str">
        <x:v>2025-10-14</x:v>
      </x:c>
      <x:c r="O128" s="8" t="str">
        <x:f>IF(COUNTIF('Centros'!$A$2:$A$13,B128)=1,"OK","ERROR")</x:f>
        <x:v>OK</x:v>
      </x:c>
    </x:row>
    <x:row r="129">
      <x:c r="A129" s="8" t="str">
        <x:v>ITM-000128</x:v>
      </x:c>
      <x:c r="B129" s="8" t="str">
        <x:v>HUB-MAD-008</x:v>
      </x:c>
      <x:c r="C129" s="8" t="str">
        <x:v>Robot de cocina</x:v>
      </x:c>
      <x:c r="D129" s="8" t="str">
        <x:v>robot-de-cocina-itm-000128</x:v>
      </x:c>
      <x:c r="E129" s="8" t="str">
        <x:v>kitchen</x:v>
      </x:c>
      <x:c r="F129" s="8" t="str">
        <x:v>Robot de cocina revisado por el equipo de Nodo Numancia, con accesorios básicos y guía de uso incluida.</x:v>
      </x:c>
      <x:c r="G129" s="8" t="str">
        <x:v>fair</x:v>
      </x:c>
      <x:c r="H129" s="8" t="str">
        <x:v>available</x:v>
      </x:c>
      <x:c r="I129" s="23" t="n">
        <x:v>30</x:v>
      </x:c>
      <x:c r="J129" s="8" t="n">
        <x:v>5</x:v>
      </x:c>
      <x:c r="K129" s="23" t="n">
        <x:v>274</x:v>
      </x:c>
      <x:c r="L129" s="24" t="n">
        <x:v>4.8</x:v>
      </x:c>
      <x:c r="M129" s="8" t="str">
        <x:v>kitchen|puente de vallecas|fair</x:v>
      </x:c>
      <x:c r="N129" s="25" t="str">
        <x:v>2025-10-17</x:v>
      </x:c>
      <x:c r="O129" s="8" t="str">
        <x:f>IF(COUNTIF('Centros'!$A$2:$A$13,B129)=1,"OK","ERROR")</x:f>
        <x:v>OK</x:v>
      </x:c>
    </x:row>
    <x:row r="130">
      <x:c r="A130" s="8" t="str">
        <x:v>ITM-000129</x:v>
      </x:c>
      <x:c r="B130" s="8" t="str">
        <x:v>HUB-MAD-009</x:v>
      </x:c>
      <x:c r="C130" s="8" t="str">
        <x:v>Mochila de trekking 50L</x:v>
      </x:c>
      <x:c r="D130" s="8" t="str">
        <x:v>mochila-de-trekking-50l-itm-000129</x:v>
      </x:c>
      <x:c r="E130" s="8" t="str">
        <x:v>outdoor</x:v>
      </x:c>
      <x:c r="F130" s="8" t="str">
        <x:v>Mochila de trekking 50L revisado por el equipo de Nodo Pacífico, con accesorios básicos y guía de uso incluida.</x:v>
      </x:c>
      <x:c r="G130" s="8" t="str">
        <x:v>excellent</x:v>
      </x:c>
      <x:c r="H130" s="8" t="str">
        <x:v>available</x:v>
      </x:c>
      <x:c r="I130" s="23" t="n">
        <x:v>0</x:v>
      </x:c>
      <x:c r="J130" s="8" t="n">
        <x:v>6</x:v>
      </x:c>
      <x:c r="K130" s="23" t="n">
        <x:v>51</x:v>
      </x:c>
      <x:c r="L130" s="24" t="n">
        <x:v>6.1</x:v>
      </x:c>
      <x:c r="M130" s="8" t="str">
        <x:v>outdoor|retiro|excellent</x:v>
      </x:c>
      <x:c r="N130" s="25" t="str">
        <x:v>2025-10-20</x:v>
      </x:c>
      <x:c r="O130" s="8" t="str">
        <x:f>IF(COUNTIF('Centros'!$A$2:$A$13,B130)=1,"OK","ERROR")</x:f>
        <x:v>OK</x:v>
      </x:c>
    </x:row>
    <x:row r="131">
      <x:c r="A131" s="8" t="str">
        <x:v>ITM-000130</x:v>
      </x:c>
      <x:c r="B131" s="8" t="str">
        <x:v>HUB-MAD-010</x:v>
      </x:c>
      <x:c r="C131" s="8" t="str">
        <x:v>Carrito de carga plegable</x:v>
      </x:c>
      <x:c r="D131" s="8" t="str">
        <x:v>carrito-de-carga-plegable-itm-000130</x:v>
      </x:c>
      <x:c r="E131" s="8" t="str">
        <x:v>mobility</x:v>
      </x:c>
      <x:c r="F131" s="8" t="str">
        <x:v>Carrito de carga plegable revisado por el equipo de Nodo Canillas, con accesorios básicos y guía de uso incluida.</x:v>
      </x:c>
      <x:c r="G131" s="8" t="str">
        <x:v>good</x:v>
      </x:c>
      <x:c r="H131" s="8" t="str">
        <x:v>available</x:v>
      </x:c>
      <x:c r="I131" s="23" t="n">
        <x:v>10</x:v>
      </x:c>
      <x:c r="J131" s="8" t="n">
        <x:v>7</x:v>
      </x:c>
      <x:c r="K131" s="23" t="n">
        <x:v>68</x:v>
      </x:c>
      <x:c r="L131" s="24" t="n">
        <x:v>7.4</x:v>
      </x:c>
      <x:c r="M131" s="8" t="str">
        <x:v>mobility|hortaleza|good</x:v>
      </x:c>
      <x:c r="N131" s="25" t="str">
        <x:v>2025-10-23</x:v>
      </x:c>
      <x:c r="O131" s="8" t="str">
        <x:f>IF(COUNTIF('Centros'!$A$2:$A$13,B131)=1,"OK","ERROR")</x:f>
        <x:v>OK</x:v>
      </x:c>
    </x:row>
    <x:row r="132">
      <x:c r="A132" s="8" t="str">
        <x:v>ITM-000131</x:v>
      </x:c>
      <x:c r="B132" s="8" t="str">
        <x:v>HUB-MAD-011</x:v>
      </x:c>
      <x:c r="C132" s="8" t="str">
        <x:v>Altavoz autoamplificado</x:v>
      </x:c>
      <x:c r="D132" s="8" t="str">
        <x:v>altavoz-autoamplificado-itm-000131</x:v>
      </x:c>
      <x:c r="E132" s="8" t="str">
        <x:v>events</x:v>
      </x:c>
      <x:c r="F132" s="8" t="str">
        <x:v>Altavoz autoamplificado revisado por el equipo de Nodo Puerta del Ángel, con accesorios básicos y guía de uso incluida.</x:v>
      </x:c>
      <x:c r="G132" s="8" t="str">
        <x:v>good</x:v>
      </x:c>
      <x:c r="H132" s="8" t="str">
        <x:v>available</x:v>
      </x:c>
      <x:c r="I132" s="23" t="n">
        <x:v>20</x:v>
      </x:c>
      <x:c r="J132" s="8" t="n">
        <x:v>3</x:v>
      </x:c>
      <x:c r="K132" s="23" t="n">
        <x:v>85</x:v>
      </x:c>
      <x:c r="L132" s="24" t="n">
        <x:v>8.7</x:v>
      </x:c>
      <x:c r="M132" s="8" t="str">
        <x:v>events|latina|good</x:v>
      </x:c>
      <x:c r="N132" s="25" t="str">
        <x:v>2025-10-26</x:v>
      </x:c>
      <x:c r="O132" s="8" t="str">
        <x:f>IF(COUNTIF('Centros'!$A$2:$A$13,B132)=1,"OK","ERROR")</x:f>
        <x:v>OK</x:v>
      </x:c>
    </x:row>
    <x:row r="133">
      <x:c r="A133" s="8" t="str">
        <x:v>ITM-000132</x:v>
      </x:c>
      <x:c r="B133" s="8" t="str">
        <x:v>HUB-MAD-012</x:v>
      </x:c>
      <x:c r="C133" s="8" t="str">
        <x:v>Kit de podcast</x:v>
      </x:c>
      <x:c r="D133" s="8" t="str">
        <x:v>kit-de-podcast-itm-000132</x:v>
      </x:c>
      <x:c r="E133" s="8" t="str">
        <x:v>technology</x:v>
      </x:c>
      <x:c r="F133" s="8" t="str">
        <x:v>Kit de podcast revisado por el equipo de Nodo Argüelles, con accesorios básicos y guía de uso incluida.</x:v>
      </x:c>
      <x:c r="G133" s="8" t="str">
        <x:v>fair</x:v>
      </x:c>
      <x:c r="H133" s="8" t="str">
        <x:v>available</x:v>
      </x:c>
      <x:c r="I133" s="23" t="n">
        <x:v>30</x:v>
      </x:c>
      <x:c r="J133" s="8" t="n">
        <x:v>4</x:v>
      </x:c>
      <x:c r="K133" s="23" t="n">
        <x:v>102</x:v>
      </x:c>
      <x:c r="L133" s="24" t="n">
        <x:v>1.5</x:v>
      </x:c>
      <x:c r="M133" s="8" t="str">
        <x:v>technology|moncloa-aravaca|fair</x:v>
      </x:c>
      <x:c r="N133" s="25" t="str">
        <x:v>2025-10-29</x:v>
      </x:c>
      <x:c r="O133" s="8" t="str">
        <x:f>IF(COUNTIF('Centros'!$A$2:$A$13,B133)=1,"OK","ERROR")</x:f>
        <x:v>OK</x:v>
      </x:c>
    </x:row>
    <x:row r="134">
      <x:c r="A134" s="8" t="str">
        <x:v>ITM-000133</x:v>
      </x:c>
      <x:c r="B134" s="8" t="str">
        <x:v>HUB-MAD-001</x:v>
      </x:c>
      <x:c r="C134" s="8" t="str">
        <x:v>Caja de herramientas</x:v>
      </x:c>
      <x:c r="D134" s="8" t="str">
        <x:v>caja-de-herramientas-itm-000133</x:v>
      </x:c>
      <x:c r="E134" s="8" t="str">
        <x:v>tools</x:v>
      </x:c>
      <x:c r="F134" s="8" t="str">
        <x:v>Caja de herramientas revisado por el equipo de Nodo Malasaña, con accesorios básicos y guía de uso incluida.</x:v>
      </x:c>
      <x:c r="G134" s="8" t="str">
        <x:v>excellent</x:v>
      </x:c>
      <x:c r="H134" s="8" t="str">
        <x:v>available</x:v>
      </x:c>
      <x:c r="I134" s="23" t="n">
        <x:v>0</x:v>
      </x:c>
      <x:c r="J134" s="8" t="n">
        <x:v>5</x:v>
      </x:c>
      <x:c r="K134" s="23" t="n">
        <x:v>119</x:v>
      </x:c>
      <x:c r="L134" s="24" t="n">
        <x:v>2.8</x:v>
      </x:c>
      <x:c r="M134" s="8" t="str">
        <x:v>tools|centro|excellent</x:v>
      </x:c>
      <x:c r="N134" s="25" t="str">
        <x:v>2025-11-01</x:v>
      </x:c>
      <x:c r="O134" s="8" t="str">
        <x:f>IF(COUNTIF('Centros'!$A$2:$A$13,B134)=1,"OK","ERROR")</x:f>
        <x:v>OK</x:v>
      </x:c>
    </x:row>
    <x:row r="135">
      <x:c r="A135" s="8" t="str">
        <x:v>ITM-000134</x:v>
      </x:c>
      <x:c r="B135" s="8" t="str">
        <x:v>HUB-MAD-002</x:v>
      </x:c>
      <x:c r="C135" s="8" t="str">
        <x:v>Olla de gran capacidad</x:v>
      </x:c>
      <x:c r="D135" s="8" t="str">
        <x:v>olla-de-gran-capacidad-itm-000134</x:v>
      </x:c>
      <x:c r="E135" s="8" t="str">
        <x:v>kitchen</x:v>
      </x:c>
      <x:c r="F135" s="8" t="str">
        <x:v>Olla de gran capacidad revisado por el equipo de Nodo Lavapiés, con accesorios básicos y guía de uso incluida.</x:v>
      </x:c>
      <x:c r="G135" s="8" t="str">
        <x:v>good</x:v>
      </x:c>
      <x:c r="H135" s="8" t="str">
        <x:v>available</x:v>
      </x:c>
      <x:c r="I135" s="23" t="n">
        <x:v>10</x:v>
      </x:c>
      <x:c r="J135" s="8" t="n">
        <x:v>6</x:v>
      </x:c>
      <x:c r="K135" s="23" t="n">
        <x:v>136</x:v>
      </x:c>
      <x:c r="L135" s="24" t="n">
        <x:v>4.1</x:v>
      </x:c>
      <x:c r="M135" s="8" t="str">
        <x:v>kitchen|centro|good</x:v>
      </x:c>
      <x:c r="N135" s="25" t="str">
        <x:v>2025-11-04</x:v>
      </x:c>
      <x:c r="O135" s="8" t="str">
        <x:f>IF(COUNTIF('Centros'!$A$2:$A$13,B135)=1,"OK","ERROR")</x:f>
        <x:v>OK</x:v>
      </x:c>
    </x:row>
    <x:row r="136">
      <x:c r="A136" s="8" t="str">
        <x:v>ITM-000135</x:v>
      </x:c>
      <x:c r="B136" s="8" t="str">
        <x:v>HUB-MAD-003</x:v>
      </x:c>
      <x:c r="C136" s="8" t="str">
        <x:v>Mesa de camping</x:v>
      </x:c>
      <x:c r="D136" s="8" t="str">
        <x:v>mesa-de-camping-itm-000135</x:v>
      </x:c>
      <x:c r="E136" s="8" t="str">
        <x:v>outdoor</x:v>
      </x:c>
      <x:c r="F136" s="8" t="str">
        <x:v>Mesa de camping revisado por el equipo de Nodo Palos de Moguer, con accesorios básicos y guía de uso incluida.</x:v>
      </x:c>
      <x:c r="G136" s="8" t="str">
        <x:v>good</x:v>
      </x:c>
      <x:c r="H136" s="8" t="str">
        <x:v>available</x:v>
      </x:c>
      <x:c r="I136" s="23" t="n">
        <x:v>20</x:v>
      </x:c>
      <x:c r="J136" s="8" t="n">
        <x:v>7</x:v>
      </x:c>
      <x:c r="K136" s="23" t="n">
        <x:v>153</x:v>
      </x:c>
      <x:c r="L136" s="24" t="n">
        <x:v>5.4</x:v>
      </x:c>
      <x:c r="M136" s="8" t="str">
        <x:v>outdoor|arganzuela|good</x:v>
      </x:c>
      <x:c r="N136" s="25" t="str">
        <x:v>2025-11-07</x:v>
      </x:c>
      <x:c r="O136" s="8" t="str">
        <x:f>IF(COUNTIF('Centros'!$A$2:$A$13,B136)=1,"OK","ERROR")</x:f>
        <x:v>OK</x:v>
      </x:c>
    </x:row>
    <x:row r="137">
      <x:c r="A137" s="8" t="str">
        <x:v>ITM-000136</x:v>
      </x:c>
      <x:c r="B137" s="8" t="str">
        <x:v>HUB-MAD-004</x:v>
      </x:c>
      <x:c r="C137" s="8" t="str">
        <x:v>Silla infantil para bici</x:v>
      </x:c>
      <x:c r="D137" s="8" t="str">
        <x:v>silla-infantil-para-bici-itm-000136</x:v>
      </x:c>
      <x:c r="E137" s="8" t="str">
        <x:v>mobility</x:v>
      </x:c>
      <x:c r="F137" s="8" t="str">
        <x:v>Silla infantil para bici revisado por el equipo de Nodo Trafalgar, con accesorios básicos y guía de uso incluida.</x:v>
      </x:c>
      <x:c r="G137" s="8" t="str">
        <x:v>fair</x:v>
      </x:c>
      <x:c r="H137" s="8" t="str">
        <x:v>available</x:v>
      </x:c>
      <x:c r="I137" s="23" t="n">
        <x:v>30</x:v>
      </x:c>
      <x:c r="J137" s="8" t="n">
        <x:v>3</x:v>
      </x:c>
      <x:c r="K137" s="23" t="n">
        <x:v>170</x:v>
      </x:c>
      <x:c r="L137" s="24" t="n">
        <x:v>6.7</x:v>
      </x:c>
      <x:c r="M137" s="8" t="str">
        <x:v>mobility|chamberí|fair</x:v>
      </x:c>
      <x:c r="N137" s="25" t="str">
        <x:v>2025-11-10</x:v>
      </x:c>
      <x:c r="O137" s="8" t="str">
        <x:f>IF(COUNTIF('Centros'!$A$2:$A$13,B137)=1,"OK","ERROR")</x:f>
        <x:v>OK</x:v>
      </x:c>
    </x:row>
    <x:row r="138">
      <x:c r="A138" s="8" t="str">
        <x:v>ITM-000137</x:v>
      </x:c>
      <x:c r="B138" s="8" t="str">
        <x:v>HUB-MAD-005</x:v>
      </x:c>
      <x:c r="C138" s="8" t="str">
        <x:v>Guirnalda exterior</x:v>
      </x:c>
      <x:c r="D138" s="8" t="str">
        <x:v>guirnalda-exterior-itm-000137</x:v>
      </x:c>
      <x:c r="E138" s="8" t="str">
        <x:v>events</x:v>
      </x:c>
      <x:c r="F138" s="8" t="str">
        <x:v>Guirnalda exterior revisado por el equipo de Nodo Bellas Vistas, con accesorios básicos y guía de uso incluida.</x:v>
      </x:c>
      <x:c r="G138" s="8" t="str">
        <x:v>excellent</x:v>
      </x:c>
      <x:c r="H138" s="8" t="str">
        <x:v>available</x:v>
      </x:c>
      <x:c r="I138" s="23" t="n">
        <x:v>0</x:v>
      </x:c>
      <x:c r="J138" s="8" t="n">
        <x:v>4</x:v>
      </x:c>
      <x:c r="K138" s="23" t="n">
        <x:v>187</x:v>
      </x:c>
      <x:c r="L138" s="24" t="n">
        <x:v>8</x:v>
      </x:c>
      <x:c r="M138" s="8" t="str">
        <x:v>events|tetuán|excellent</x:v>
      </x:c>
      <x:c r="N138" s="25" t="str">
        <x:v>2025-11-13</x:v>
      </x:c>
      <x:c r="O138" s="8" t="str">
        <x:f>IF(COUNTIF('Centros'!$A$2:$A$13,B138)=1,"OK","ERROR")</x:f>
        <x:v>OK</x:v>
      </x:c>
    </x:row>
    <x:row r="139">
      <x:c r="A139" s="8" t="str">
        <x:v>ITM-000138</x:v>
      </x:c>
      <x:c r="B139" s="8" t="str">
        <x:v>HUB-MAD-006</x:v>
      </x:c>
      <x:c r="C139" s="8" t="str">
        <x:v>Cámara instantánea</x:v>
      </x:c>
      <x:c r="D139" s="8" t="str">
        <x:v>camara-instantanea-itm-000138</x:v>
      </x:c>
      <x:c r="E139" s="8" t="str">
        <x:v>technology</x:v>
      </x:c>
      <x:c r="F139" s="8" t="str">
        <x:v>Cámara instantánea revisado por el equipo de Nodo Opañel, con accesorios básicos y guía de uso incluida.</x:v>
      </x:c>
      <x:c r="G139" s="8" t="str">
        <x:v>good</x:v>
      </x:c>
      <x:c r="H139" s="8" t="str">
        <x:v>available</x:v>
      </x:c>
      <x:c r="I139" s="23" t="n">
        <x:v>10</x:v>
      </x:c>
      <x:c r="J139" s="8" t="n">
        <x:v>5</x:v>
      </x:c>
      <x:c r="K139" s="23" t="n">
        <x:v>204</x:v>
      </x:c>
      <x:c r="L139" s="24" t="n">
        <x:v>9.3</x:v>
      </x:c>
      <x:c r="M139" s="8" t="str">
        <x:v>technology|carabanchel|good</x:v>
      </x:c>
      <x:c r="N139" s="25" t="str">
        <x:v>2025-11-16</x:v>
      </x:c>
      <x:c r="O139" s="8" t="str">
        <x:f>IF(COUNTIF('Centros'!$A$2:$A$13,B139)=1,"OK","ERROR")</x:f>
        <x:v>OK</x:v>
      </x:c>
    </x:row>
    <x:row r="140">
      <x:c r="A140" s="8" t="str">
        <x:v>ITM-000139</x:v>
      </x:c>
      <x:c r="B140" s="8" t="str">
        <x:v>HUB-MAD-007</x:v>
      </x:c>
      <x:c r="C140" s="8" t="str">
        <x:v>Hidrolimpiadora compacta</x:v>
      </x:c>
      <x:c r="D140" s="8" t="str">
        <x:v>hidrolimpiadora-compacta-itm-000139</x:v>
      </x:c>
      <x:c r="E140" s="8" t="str">
        <x:v>tools</x:v>
      </x:c>
      <x:c r="F140" s="8" t="str">
        <x:v>Hidrolimpiadora compacta revisado por el equipo de Nodo Almendrales, con accesorios básicos y guía de uso incluida.</x:v>
      </x:c>
      <x:c r="G140" s="8" t="str">
        <x:v>good</x:v>
      </x:c>
      <x:c r="H140" s="8" t="str">
        <x:v>available</x:v>
      </x:c>
      <x:c r="I140" s="23" t="n">
        <x:v>20</x:v>
      </x:c>
      <x:c r="J140" s="8" t="n">
        <x:v>6</x:v>
      </x:c>
      <x:c r="K140" s="23" t="n">
        <x:v>221</x:v>
      </x:c>
      <x:c r="L140" s="24" t="n">
        <x:v>2.1</x:v>
      </x:c>
      <x:c r="M140" s="8" t="str">
        <x:v>tools|usera|good</x:v>
      </x:c>
      <x:c r="N140" s="25" t="str">
        <x:v>2025-11-19</x:v>
      </x:c>
      <x:c r="O140" s="8" t="str">
        <x:f>IF(COUNTIF('Centros'!$A$2:$A$13,B140)=1,"OK","ERROR")</x:f>
        <x:v>OK</x:v>
      </x:c>
    </x:row>
    <x:row r="141">
      <x:c r="A141" s="8" t="str">
        <x:v>ITM-000140</x:v>
      </x:c>
      <x:c r="B141" s="8" t="str">
        <x:v>HUB-MAD-008</x:v>
      </x:c>
      <x:c r="C141" s="8" t="str">
        <x:v>Máquina de pasta</x:v>
      </x:c>
      <x:c r="D141" s="8" t="str">
        <x:v>maquina-de-pasta-itm-000140</x:v>
      </x:c>
      <x:c r="E141" s="8" t="str">
        <x:v>kitchen</x:v>
      </x:c>
      <x:c r="F141" s="8" t="str">
        <x:v>Máquina de pasta revisado por el equipo de Nodo Numancia, con accesorios básicos y guía de uso incluida.</x:v>
      </x:c>
      <x:c r="G141" s="8" t="str">
        <x:v>fair</x:v>
      </x:c>
      <x:c r="H141" s="8" t="str">
        <x:v>available</x:v>
      </x:c>
      <x:c r="I141" s="23" t="n">
        <x:v>30</x:v>
      </x:c>
      <x:c r="J141" s="8" t="n">
        <x:v>7</x:v>
      </x:c>
      <x:c r="K141" s="23" t="n">
        <x:v>238</x:v>
      </x:c>
      <x:c r="L141" s="24" t="n">
        <x:v>3.4</x:v>
      </x:c>
      <x:c r="M141" s="8" t="str">
        <x:v>kitchen|puente de vallecas|fair</x:v>
      </x:c>
      <x:c r="N141" s="25" t="str">
        <x:v>2025-11-22</x:v>
      </x:c>
      <x:c r="O141" s="8" t="str">
        <x:f>IF(COUNTIF('Centros'!$A$2:$A$13,B141)=1,"OK","ERROR")</x:f>
        <x:v>OK</x:v>
      </x:c>
    </x:row>
    <x:row r="142">
      <x:c r="A142" s="8" t="str">
        <x:v>ITM-000141</x:v>
      </x:c>
      <x:c r="B142" s="8" t="str">
        <x:v>HUB-MAD-009</x:v>
      </x:c>
      <x:c r="C142" s="8" t="str">
        <x:v>Prismáticos 10x42</x:v>
      </x:c>
      <x:c r="D142" s="8" t="str">
        <x:v>prismaticos-10x42-itm-000141</x:v>
      </x:c>
      <x:c r="E142" s="8" t="str">
        <x:v>outdoor</x:v>
      </x:c>
      <x:c r="F142" s="8" t="str">
        <x:v>Prismáticos 10x42 revisado por el equipo de Nodo Pacífico, con accesorios básicos y guía de uso incluida.</x:v>
      </x:c>
      <x:c r="G142" s="8" t="str">
        <x:v>excellent</x:v>
      </x:c>
      <x:c r="H142" s="8" t="str">
        <x:v>available</x:v>
      </x:c>
      <x:c r="I142" s="23" t="n">
        <x:v>0</x:v>
      </x:c>
      <x:c r="J142" s="8" t="n">
        <x:v>3</x:v>
      </x:c>
      <x:c r="K142" s="23" t="n">
        <x:v>255</x:v>
      </x:c>
      <x:c r="L142" s="24" t="n">
        <x:v>4.7</x:v>
      </x:c>
      <x:c r="M142" s="8" t="str">
        <x:v>outdoor|retiro|excellent</x:v>
      </x:c>
      <x:c r="N142" s="25" t="str">
        <x:v>2025-11-25</x:v>
      </x:c>
      <x:c r="O142" s="8" t="str">
        <x:f>IF(COUNTIF('Centros'!$A$2:$A$13,B142)=1,"OK","ERROR")</x:f>
        <x:v>OK</x:v>
      </x:c>
    </x:row>
    <x:row r="143">
      <x:c r="A143" s="8" t="str">
        <x:v>ITM-000142</x:v>
      </x:c>
      <x:c r="B143" s="8" t="str">
        <x:v>HUB-MAD-010</x:v>
      </x:c>
      <x:c r="C143" s="8" t="str">
        <x:v>Bomba de pie</x:v>
      </x:c>
      <x:c r="D143" s="8" t="str">
        <x:v>bomba-de-pie-itm-000142</x:v>
      </x:c>
      <x:c r="E143" s="8" t="str">
        <x:v>mobility</x:v>
      </x:c>
      <x:c r="F143" s="8" t="str">
        <x:v>Bomba de pie revisado por el equipo de Nodo Canillas, con accesorios básicos y guía de uso incluida.</x:v>
      </x:c>
      <x:c r="G143" s="8" t="str">
        <x:v>good</x:v>
      </x:c>
      <x:c r="H143" s="8" t="str">
        <x:v>retired</x:v>
      </x:c>
      <x:c r="I143" s="23" t="n">
        <x:v>0</x:v>
      </x:c>
      <x:c r="J143" s="8" t="n">
        <x:v>4</x:v>
      </x:c>
      <x:c r="K143" s="23" t="n">
        <x:v>272</x:v>
      </x:c>
      <x:c r="L143" s="24" t="n">
        <x:v>6</x:v>
      </x:c>
      <x:c r="M143" s="8" t="str">
        <x:v>mobility|hortaleza|good</x:v>
      </x:c>
      <x:c r="N143" s="25" t="str">
        <x:v>2025-11-28</x:v>
      </x:c>
      <x:c r="O143" s="8" t="str">
        <x:f>IF(COUNTIF('Centros'!$A$2:$A$13,B143)=1,"OK","ERROR")</x:f>
        <x:v>OK</x:v>
      </x:c>
    </x:row>
    <x:row r="144">
      <x:c r="A144" s="8" t="str">
        <x:v>ITM-000143</x:v>
      </x:c>
      <x:c r="B144" s="8" t="str">
        <x:v>HUB-MAD-011</x:v>
      </x:c>
      <x:c r="C144" s="8" t="str">
        <x:v>Carpa plegable 3x3</x:v>
      </x:c>
      <x:c r="D144" s="8" t="str">
        <x:v>carpa-plegable-3x3-itm-000143</x:v>
      </x:c>
      <x:c r="E144" s="8" t="str">
        <x:v>events</x:v>
      </x:c>
      <x:c r="F144" s="8" t="str">
        <x:v>Carpa plegable 3x3 revisado por el equipo de Nodo Puerta del Ángel, con accesorios básicos y guía de uso incluida.</x:v>
      </x:c>
      <x:c r="G144" s="8" t="str">
        <x:v>good</x:v>
      </x:c>
      <x:c r="H144" s="8" t="str">
        <x:v>available</x:v>
      </x:c>
      <x:c r="I144" s="23" t="n">
        <x:v>20</x:v>
      </x:c>
      <x:c r="J144" s="8" t="n">
        <x:v>5</x:v>
      </x:c>
      <x:c r="K144" s="23" t="n">
        <x:v>49</x:v>
      </x:c>
      <x:c r="L144" s="24" t="n">
        <x:v>7.3</x:v>
      </x:c>
      <x:c r="M144" s="8" t="str">
        <x:v>events|latina|good</x:v>
      </x:c>
      <x:c r="N144" s="25" t="str">
        <x:v>2025-12-01</x:v>
      </x:c>
      <x:c r="O144" s="8" t="str">
        <x:f>IF(COUNTIF('Centros'!$A$2:$A$13,B144)=1,"OK","ERROR")</x:f>
        <x:v>OK</x:v>
      </x:c>
    </x:row>
    <x:row r="145">
      <x:c r="A145" s="8" t="str">
        <x:v>ITM-000144</x:v>
      </x:c>
      <x:c r="B145" s="8" t="str">
        <x:v>HUB-MAD-012</x:v>
      </x:c>
      <x:c r="C145" s="8" t="str">
        <x:v>Medidor láser</x:v>
      </x:c>
      <x:c r="D145" s="8" t="str">
        <x:v>medidor-laser-itm-000144</x:v>
      </x:c>
      <x:c r="E145" s="8" t="str">
        <x:v>technology</x:v>
      </x:c>
      <x:c r="F145" s="8" t="str">
        <x:v>Medidor láser revisado por el equipo de Nodo Argüelles, con accesorios básicos y guía de uso incluida.</x:v>
      </x:c>
      <x:c r="G145" s="8" t="str">
        <x:v>fair</x:v>
      </x:c>
      <x:c r="H145" s="8" t="str">
        <x:v>available</x:v>
      </x:c>
      <x:c r="I145" s="23" t="n">
        <x:v>30</x:v>
      </x:c>
      <x:c r="J145" s="8" t="n">
        <x:v>6</x:v>
      </x:c>
      <x:c r="K145" s="23" t="n">
        <x:v>66</x:v>
      </x:c>
      <x:c r="L145" s="24" t="n">
        <x:v>8.6</x:v>
      </x:c>
      <x:c r="M145" s="8" t="str">
        <x:v>technology|moncloa-aravaca|fair</x:v>
      </x:c>
      <x:c r="N145" s="25" t="str">
        <x:v>2025-12-04</x:v>
      </x:c>
      <x:c r="O145" s="8" t="str">
        <x:f>IF(COUNTIF('Centros'!$A$2:$A$13,B145)=1,"OK","ERROR")</x:f>
        <x:v>OK</x:v>
      </x:c>
    </x:row>
    <x:row r="146">
      <x:c r="A146" s="8" t="str">
        <x:v>ITM-000145</x:v>
      </x:c>
      <x:c r="B146" s="8" t="str">
        <x:v>HUB-MAD-001</x:v>
      </x:c>
      <x:c r="C146" s="8" t="str">
        <x:v>Sierra de calar</x:v>
      </x:c>
      <x:c r="D146" s="8" t="str">
        <x:v>sierra-de-calar-itm-000145</x:v>
      </x:c>
      <x:c r="E146" s="8" t="str">
        <x:v>tools</x:v>
      </x:c>
      <x:c r="F146" s="8" t="str">
        <x:v>Sierra de calar revisado por el equipo de Nodo Malasaña, con accesorios básicos y guía de uso incluida.</x:v>
      </x:c>
      <x:c r="G146" s="8" t="str">
        <x:v>excellent</x:v>
      </x:c>
      <x:c r="H146" s="8" t="str">
        <x:v>available</x:v>
      </x:c>
      <x:c r="I146" s="23" t="n">
        <x:v>0</x:v>
      </x:c>
      <x:c r="J146" s="8" t="n">
        <x:v>7</x:v>
      </x:c>
      <x:c r="K146" s="23" t="n">
        <x:v>83</x:v>
      </x:c>
      <x:c r="L146" s="24" t="n">
        <x:v>1.4</x:v>
      </x:c>
      <x:c r="M146" s="8" t="str">
        <x:v>tools|centro|excellent</x:v>
      </x:c>
      <x:c r="N146" s="25" t="str">
        <x:v>2025-12-07</x:v>
      </x:c>
      <x:c r="O146" s="8" t="str">
        <x:f>IF(COUNTIF('Centros'!$A$2:$A$13,B146)=1,"OK","ERROR")</x:f>
        <x:v>OK</x:v>
      </x:c>
    </x:row>
    <x:row r="147">
      <x:c r="A147" s="8" t="str">
        <x:v>ITM-000146</x:v>
      </x:c>
      <x:c r="B147" s="8" t="str">
        <x:v>HUB-MAD-002</x:v>
      </x:c>
      <x:c r="C147" s="8" t="str">
        <x:v>Batidora de vaso</x:v>
      </x:c>
      <x:c r="D147" s="8" t="str">
        <x:v>batidora-de-vaso-itm-000146</x:v>
      </x:c>
      <x:c r="E147" s="8" t="str">
        <x:v>kitchen</x:v>
      </x:c>
      <x:c r="F147" s="8" t="str">
        <x:v>Batidora de vaso revisado por el equipo de Nodo Lavapiés, con accesorios básicos y guía de uso incluida.</x:v>
      </x:c>
      <x:c r="G147" s="8" t="str">
        <x:v>good</x:v>
      </x:c>
      <x:c r="H147" s="8" t="str">
        <x:v>maintenance</x:v>
      </x:c>
      <x:c r="I147" s="23" t="n">
        <x:v>0</x:v>
      </x:c>
      <x:c r="J147" s="8" t="n">
        <x:v>3</x:v>
      </x:c>
      <x:c r="K147" s="23" t="n">
        <x:v>100</x:v>
      </x:c>
      <x:c r="L147" s="24" t="n">
        <x:v>2.7</x:v>
      </x:c>
      <x:c r="M147" s="8" t="str">
        <x:v>kitchen|centro|good</x:v>
      </x:c>
      <x:c r="N147" s="25" t="str">
        <x:v>2025-12-10</x:v>
      </x:c>
      <x:c r="O147" s="8" t="str">
        <x:f>IF(COUNTIF('Centros'!$A$2:$A$13,B147)=1,"OK","ERROR")</x:f>
        <x:v>OK</x:v>
      </x:c>
    </x:row>
    <x:row r="148">
      <x:c r="A148" s="8" t="str">
        <x:v>ITM-000147</x:v>
      </x:c>
      <x:c r="B148" s="8" t="str">
        <x:v>HUB-MAD-003</x:v>
      </x:c>
      <x:c r="C148" s="8" t="str">
        <x:v>Saco de dormir</x:v>
      </x:c>
      <x:c r="D148" s="8" t="str">
        <x:v>saco-de-dormir-itm-000147</x:v>
      </x:c>
      <x:c r="E148" s="8" t="str">
        <x:v>outdoor</x:v>
      </x:c>
      <x:c r="F148" s="8" t="str">
        <x:v>Saco de dormir revisado por el equipo de Nodo Palos de Moguer, con accesorios básicos y guía de uso incluida.</x:v>
      </x:c>
      <x:c r="G148" s="8" t="str">
        <x:v>good</x:v>
      </x:c>
      <x:c r="H148" s="8" t="str">
        <x:v>available</x:v>
      </x:c>
      <x:c r="I148" s="23" t="n">
        <x:v>20</x:v>
      </x:c>
      <x:c r="J148" s="8" t="n">
        <x:v>4</x:v>
      </x:c>
      <x:c r="K148" s="23" t="n">
        <x:v>117</x:v>
      </x:c>
      <x:c r="L148" s="24" t="n">
        <x:v>4</x:v>
      </x:c>
      <x:c r="M148" s="8" t="str">
        <x:v>outdoor|arganzuela|good</x:v>
      </x:c>
      <x:c r="N148" s="25" t="str">
        <x:v>2025-12-13</x:v>
      </x:c>
      <x:c r="O148" s="8" t="str">
        <x:f>IF(COUNTIF('Centros'!$A$2:$A$13,B148)=1,"OK","ERROR")</x:f>
        <x:v>OK</x:v>
      </x:c>
    </x:row>
    <x:row r="149">
      <x:c r="A149" s="8" t="str">
        <x:v>ITM-000148</x:v>
      </x:c>
      <x:c r="B149" s="8" t="str">
        <x:v>HUB-MAD-004</x:v>
      </x:c>
      <x:c r="C149" s="8" t="str">
        <x:v>Kit reparación de bici</x:v>
      </x:c>
      <x:c r="D149" s="8" t="str">
        <x:v>kit-reparacion-de-bici-itm-000148</x:v>
      </x:c>
      <x:c r="E149" s="8" t="str">
        <x:v>mobility</x:v>
      </x:c>
      <x:c r="F149" s="8" t="str">
        <x:v>Kit reparación de bici revisado por el equipo de Nodo Trafalgar, con accesorios básicos y guía de uso incluida.</x:v>
      </x:c>
      <x:c r="G149" s="8" t="str">
        <x:v>fair</x:v>
      </x:c>
      <x:c r="H149" s="8" t="str">
        <x:v>available</x:v>
      </x:c>
      <x:c r="I149" s="23" t="n">
        <x:v>30</x:v>
      </x:c>
      <x:c r="J149" s="8" t="n">
        <x:v>5</x:v>
      </x:c>
      <x:c r="K149" s="23" t="n">
        <x:v>134</x:v>
      </x:c>
      <x:c r="L149" s="24" t="n">
        <x:v>5.3</x:v>
      </x:c>
      <x:c r="M149" s="8" t="str">
        <x:v>mobility|chamberí|fair</x:v>
      </x:c>
      <x:c r="N149" s="25" t="str">
        <x:v>2025-12-16</x:v>
      </x:c>
      <x:c r="O149" s="8" t="str">
        <x:f>IF(COUNTIF('Centros'!$A$2:$A$13,B149)=1,"OK","ERROR")</x:f>
        <x:v>OK</x:v>
      </x:c>
    </x:row>
    <x:row r="150">
      <x:c r="A150" s="8" t="str">
        <x:v>ITM-000149</x:v>
      </x:c>
      <x:c r="B150" s="8" t="str">
        <x:v>HUB-MAD-005</x:v>
      </x:c>
      <x:c r="C150" s="8" t="str">
        <x:v>Pack de 30 sillas</x:v>
      </x:c>
      <x:c r="D150" s="8" t="str">
        <x:v>pack-de-30-sillas-itm-000149</x:v>
      </x:c>
      <x:c r="E150" s="8" t="str">
        <x:v>events</x:v>
      </x:c>
      <x:c r="F150" s="8" t="str">
        <x:v>Pack de 30 sillas revisado por el equipo de Nodo Bellas Vistas, con accesorios básicos y guía de uso incluida.</x:v>
      </x:c>
      <x:c r="G150" s="8" t="str">
        <x:v>excellent</x:v>
      </x:c>
      <x:c r="H150" s="8" t="str">
        <x:v>available</x:v>
      </x:c>
      <x:c r="I150" s="23" t="n">
        <x:v>0</x:v>
      </x:c>
      <x:c r="J150" s="8" t="n">
        <x:v>6</x:v>
      </x:c>
      <x:c r="K150" s="23" t="n">
        <x:v>151</x:v>
      </x:c>
      <x:c r="L150" s="24" t="n">
        <x:v>6.6</x:v>
      </x:c>
      <x:c r="M150" s="8" t="str">
        <x:v>events|tetuán|excellent</x:v>
      </x:c>
      <x:c r="N150" s="25" t="str">
        <x:v>2025-12-19</x:v>
      </x:c>
      <x:c r="O150" s="8" t="str">
        <x:f>IF(COUNTIF('Centros'!$A$2:$A$13,B150)=1,"OK","ERROR")</x:f>
        <x:v>OK</x:v>
      </x:c>
    </x:row>
    <x:row r="151">
      <x:c r="A151" s="8" t="str">
        <x:v>ITM-000150</x:v>
      </x:c>
      <x:c r="B151" s="8" t="str">
        <x:v>HUB-MAD-006</x:v>
      </x:c>
      <x:c r="C151" s="8" t="str">
        <x:v>Tablet gráfica</x:v>
      </x:c>
      <x:c r="D151" s="8" t="str">
        <x:v>tablet-grafica-itm-000150</x:v>
      </x:c>
      <x:c r="E151" s="8" t="str">
        <x:v>technology</x:v>
      </x:c>
      <x:c r="F151" s="8" t="str">
        <x:v>Tablet gráfica revisado por el equipo de Nodo Opañel, con accesorios básicos y guía de uso incluida.</x:v>
      </x:c>
      <x:c r="G151" s="8" t="str">
        <x:v>good</x:v>
      </x:c>
      <x:c r="H151" s="8" t="str">
        <x:v>available</x:v>
      </x:c>
      <x:c r="I151" s="23" t="n">
        <x:v>10</x:v>
      </x:c>
      <x:c r="J151" s="8" t="n">
        <x:v>7</x:v>
      </x:c>
      <x:c r="K151" s="23" t="n">
        <x:v>168</x:v>
      </x:c>
      <x:c r="L151" s="24" t="n">
        <x:v>7.9</x:v>
      </x:c>
      <x:c r="M151" s="8" t="str">
        <x:v>technology|carabanchel|good</x:v>
      </x:c>
      <x:c r="N151" s="25" t="str">
        <x:v>2025-12-22</x:v>
      </x:c>
      <x:c r="O151" s="8" t="str">
        <x:f>IF(COUNTIF('Centros'!$A$2:$A$13,B151)=1,"OK","ERROR")</x:f>
        <x:v>OK</x:v>
      </x:c>
    </x:row>
    <x:row r="152">
      <x:c r="A152" s="8" t="str">
        <x:v>ITM-000151</x:v>
      </x:c>
      <x:c r="B152" s="8" t="str">
        <x:v>HUB-MAD-007</x:v>
      </x:c>
      <x:c r="C152" s="8" t="str">
        <x:v>Taladro percutor 18V</x:v>
      </x:c>
      <x:c r="D152" s="8" t="str">
        <x:v>taladro-percutor-18v-itm-000151</x:v>
      </x:c>
      <x:c r="E152" s="8" t="str">
        <x:v>tools</x:v>
      </x:c>
      <x:c r="F152" s="8" t="str">
        <x:v>Taladro percutor 18V revisado por el equipo de Nodo Almendrales, con accesorios básicos y guía de uso incluida.</x:v>
      </x:c>
      <x:c r="G152" s="8" t="str">
        <x:v>good</x:v>
      </x:c>
      <x:c r="H152" s="8" t="str">
        <x:v>available</x:v>
      </x:c>
      <x:c r="I152" s="23" t="n">
        <x:v>20</x:v>
      </x:c>
      <x:c r="J152" s="8" t="n">
        <x:v>3</x:v>
      </x:c>
      <x:c r="K152" s="23" t="n">
        <x:v>185</x:v>
      </x:c>
      <x:c r="L152" s="24" t="n">
        <x:v>9.2</x:v>
      </x:c>
      <x:c r="M152" s="8" t="str">
        <x:v>tools|usera|good</x:v>
      </x:c>
      <x:c r="N152" s="25" t="str">
        <x:v>2025-12-25</x:v>
      </x:c>
      <x:c r="O152" s="8" t="str">
        <x:f>IF(COUNTIF('Centros'!$A$2:$A$13,B152)=1,"OK","ERROR")</x:f>
        <x:v>OK</x:v>
      </x:c>
    </x:row>
    <x:row r="153">
      <x:c r="A153" s="8" t="str">
        <x:v>ITM-000152</x:v>
      </x:c>
      <x:c r="B153" s="8" t="str">
        <x:v>HUB-MAD-008</x:v>
      </x:c>
      <x:c r="C153" s="8" t="str">
        <x:v>Vajilla para 24 personas</x:v>
      </x:c>
      <x:c r="D153" s="8" t="str">
        <x:v>vajilla-para-24-personas-itm-000152</x:v>
      </x:c>
      <x:c r="E153" s="8" t="str">
        <x:v>kitchen</x:v>
      </x:c>
      <x:c r="F153" s="8" t="str">
        <x:v>Vajilla para 24 personas revisado por el equipo de Nodo Numancia, con accesorios básicos y guía de uso incluida.</x:v>
      </x:c>
      <x:c r="G153" s="8" t="str">
        <x:v>fair</x:v>
      </x:c>
      <x:c r="H153" s="8" t="str">
        <x:v>available</x:v>
      </x:c>
      <x:c r="I153" s="23" t="n">
        <x:v>30</x:v>
      </x:c>
      <x:c r="J153" s="8" t="n">
        <x:v>4</x:v>
      </x:c>
      <x:c r="K153" s="23" t="n">
        <x:v>202</x:v>
      </x:c>
      <x:c r="L153" s="24" t="n">
        <x:v>2</x:v>
      </x:c>
      <x:c r="M153" s="8" t="str">
        <x:v>kitchen|puente de vallecas|fair</x:v>
      </x:c>
      <x:c r="N153" s="25" t="str">
        <x:v>2025-12-28</x:v>
      </x:c>
      <x:c r="O153" s="8" t="str">
        <x:f>IF(COUNTIF('Centros'!$A$2:$A$13,B153)=1,"OK","ERROR")</x:f>
        <x:v>OK</x:v>
      </x:c>
    </x:row>
    <x:row r="154">
      <x:c r="A154" s="8" t="str">
        <x:v>ITM-000153</x:v>
      </x:c>
      <x:c r="B154" s="8" t="str">
        <x:v>HUB-MAD-009</x:v>
      </x:c>
      <x:c r="C154" s="8" t="str">
        <x:v>Tienda de campaña 3P</x:v>
      </x:c>
      <x:c r="D154" s="8" t="str">
        <x:v>tienda-de-campana-3p-itm-000153</x:v>
      </x:c>
      <x:c r="E154" s="8" t="str">
        <x:v>outdoor</x:v>
      </x:c>
      <x:c r="F154" s="8" t="str">
        <x:v>Tienda de campaña 3P revisado por el equipo de Nodo Pacífico, con accesorios básicos y guía de uso incluida.</x:v>
      </x:c>
      <x:c r="G154" s="8" t="str">
        <x:v>excellent</x:v>
      </x:c>
      <x:c r="H154" s="8" t="str">
        <x:v>available</x:v>
      </x:c>
      <x:c r="I154" s="23" t="n">
        <x:v>0</x:v>
      </x:c>
      <x:c r="J154" s="8" t="n">
        <x:v>5</x:v>
      </x:c>
      <x:c r="K154" s="23" t="n">
        <x:v>219</x:v>
      </x:c>
      <x:c r="L154" s="24" t="n">
        <x:v>3.3</x:v>
      </x:c>
      <x:c r="M154" s="8" t="str">
        <x:v>outdoor|retiro|excellent</x:v>
      </x:c>
      <x:c r="N154" s="25" t="str">
        <x:v>2025-12-31</x:v>
      </x:c>
      <x:c r="O154" s="8" t="str">
        <x:f>IF(COUNTIF('Centros'!$A$2:$A$13,B154)=1,"OK","ERROR")</x:f>
        <x:v>OK</x:v>
      </x:c>
    </x:row>
    <x:row r="155">
      <x:c r="A155" s="8" t="str">
        <x:v>ITM-000154</x:v>
      </x:c>
      <x:c r="B155" s="8" t="str">
        <x:v>HUB-MAD-010</x:v>
      </x:c>
      <x:c r="C155" s="8" t="str">
        <x:v>Bicicleta urbana</x:v>
      </x:c>
      <x:c r="D155" s="8" t="str">
        <x:v>bicicleta-urbana-itm-000154</x:v>
      </x:c>
      <x:c r="E155" s="8" t="str">
        <x:v>mobility</x:v>
      </x:c>
      <x:c r="F155" s="8" t="str">
        <x:v>Bicicleta urbana revisado por el equipo de Nodo Canillas, con accesorios básicos y guía de uso incluida.</x:v>
      </x:c>
      <x:c r="G155" s="8" t="str">
        <x:v>good</x:v>
      </x:c>
      <x:c r="H155" s="8" t="str">
        <x:v>available</x:v>
      </x:c>
      <x:c r="I155" s="23" t="n">
        <x:v>10</x:v>
      </x:c>
      <x:c r="J155" s="8" t="n">
        <x:v>6</x:v>
      </x:c>
      <x:c r="K155" s="23" t="n">
        <x:v>236</x:v>
      </x:c>
      <x:c r="L155" s="24" t="n">
        <x:v>4.6</x:v>
      </x:c>
      <x:c r="M155" s="8" t="str">
        <x:v>mobility|hortaleza|good</x:v>
      </x:c>
      <x:c r="N155" s="25" t="str">
        <x:v>2026-01-03</x:v>
      </x:c>
      <x:c r="O155" s="8" t="str">
        <x:f>IF(COUNTIF('Centros'!$A$2:$A$13,B155)=1,"OK","ERROR")</x:f>
        <x:v>OK</x:v>
      </x:c>
    </x:row>
    <x:row r="156">
      <x:c r="A156" s="8" t="str">
        <x:v>ITM-000155</x:v>
      </x:c>
      <x:c r="B156" s="8" t="str">
        <x:v>HUB-MAD-011</x:v>
      </x:c>
      <x:c r="C156" s="8" t="str">
        <x:v>Proyector portátil</x:v>
      </x:c>
      <x:c r="D156" s="8" t="str">
        <x:v>proyector-portatil-itm-000155</x:v>
      </x:c>
      <x:c r="E156" s="8" t="str">
        <x:v>events</x:v>
      </x:c>
      <x:c r="F156" s="8" t="str">
        <x:v>Proyector portátil revisado por el equipo de Nodo Puerta del Ángel, con accesorios básicos y guía de uso incluida.</x:v>
      </x:c>
      <x:c r="G156" s="8" t="str">
        <x:v>good</x:v>
      </x:c>
      <x:c r="H156" s="8" t="str">
        <x:v>available</x:v>
      </x:c>
      <x:c r="I156" s="23" t="n">
        <x:v>20</x:v>
      </x:c>
      <x:c r="J156" s="8" t="n">
        <x:v>7</x:v>
      </x:c>
      <x:c r="K156" s="23" t="n">
        <x:v>253</x:v>
      </x:c>
      <x:c r="L156" s="24" t="n">
        <x:v>5.9</x:v>
      </x:c>
      <x:c r="M156" s="8" t="str">
        <x:v>events|latina|good</x:v>
      </x:c>
      <x:c r="N156" s="25" t="str">
        <x:v>2026-01-06</x:v>
      </x:c>
      <x:c r="O156" s="8" t="str">
        <x:f>IF(COUNTIF('Centros'!$A$2:$A$13,B156)=1,"OK","ERROR")</x:f>
        <x:v>OK</x:v>
      </x:c>
    </x:row>
    <x:row r="157">
      <x:c r="A157" s="8" t="str">
        <x:v>ITM-000156</x:v>
      </x:c>
      <x:c r="B157" s="8" t="str">
        <x:v>HUB-MAD-012</x:v>
      </x:c>
      <x:c r="C157" s="8" t="str">
        <x:v>Escáner documental</x:v>
      </x:c>
      <x:c r="D157" s="8" t="str">
        <x:v>escaner-documental-itm-000156</x:v>
      </x:c>
      <x:c r="E157" s="8" t="str">
        <x:v>technology</x:v>
      </x:c>
      <x:c r="F157" s="8" t="str">
        <x:v>Escáner documental revisado por el equipo de Nodo Argüelles, con accesorios básicos y guía de uso incluida.</x:v>
      </x:c>
      <x:c r="G157" s="8" t="str">
        <x:v>fair</x:v>
      </x:c>
      <x:c r="H157" s="8" t="str">
        <x:v>available</x:v>
      </x:c>
      <x:c r="I157" s="23" t="n">
        <x:v>30</x:v>
      </x:c>
      <x:c r="J157" s="8" t="n">
        <x:v>3</x:v>
      </x:c>
      <x:c r="K157" s="23" t="n">
        <x:v>270</x:v>
      </x:c>
      <x:c r="L157" s="24" t="n">
        <x:v>7.2</x:v>
      </x:c>
      <x:c r="M157" s="8" t="str">
        <x:v>technology|moncloa-aravaca|fair</x:v>
      </x:c>
      <x:c r="N157" s="25" t="str">
        <x:v>2026-01-09</x:v>
      </x:c>
      <x:c r="O157" s="8" t="str">
        <x:f>IF(COUNTIF('Centros'!$A$2:$A$13,B157)=1,"OK","ERROR")</x:f>
        <x:v>OK</x:v>
      </x:c>
    </x:row>
    <x:row r="158">
      <x:c r="A158" s="8" t="str">
        <x:v>ITM-000157</x:v>
      </x:c>
      <x:c r="B158" s="8" t="str">
        <x:v>HUB-MAD-001</x:v>
      </x:c>
      <x:c r="C158" s="8" t="str">
        <x:v>Lijadora orbital</x:v>
      </x:c>
      <x:c r="D158" s="8" t="str">
        <x:v>lijadora-orbital-itm-000157</x:v>
      </x:c>
      <x:c r="E158" s="8" t="str">
        <x:v>tools</x:v>
      </x:c>
      <x:c r="F158" s="8" t="str">
        <x:v>Lijadora orbital revisado por el equipo de Nodo Malasaña, con accesorios básicos y guía de uso incluida.</x:v>
      </x:c>
      <x:c r="G158" s="8" t="str">
        <x:v>excellent</x:v>
      </x:c>
      <x:c r="H158" s="8" t="str">
        <x:v>available</x:v>
      </x:c>
      <x:c r="I158" s="23" t="n">
        <x:v>0</x:v>
      </x:c>
      <x:c r="J158" s="8" t="n">
        <x:v>4</x:v>
      </x:c>
      <x:c r="K158" s="23" t="n">
        <x:v>47</x:v>
      </x:c>
      <x:c r="L158" s="24" t="n">
        <x:v>8.5</x:v>
      </x:c>
      <x:c r="M158" s="8" t="str">
        <x:v>tools|centro|excellent</x:v>
      </x:c>
      <x:c r="N158" s="25" t="str">
        <x:v>2026-01-12</x:v>
      </x:c>
      <x:c r="O158" s="8" t="str">
        <x:f>IF(COUNTIF('Centros'!$A$2:$A$13,B158)=1,"OK","ERROR")</x:f>
        <x:v>OK</x:v>
      </x:c>
    </x:row>
    <x:row r="159">
      <x:c r="A159" s="8" t="str">
        <x:v>ITM-000158</x:v>
      </x:c>
      <x:c r="B159" s="8" t="str">
        <x:v>HUB-MAD-002</x:v>
      </x:c>
      <x:c r="C159" s="8" t="str">
        <x:v>Robot de cocina</x:v>
      </x:c>
      <x:c r="D159" s="8" t="str">
        <x:v>robot-de-cocina-itm-000158</x:v>
      </x:c>
      <x:c r="E159" s="8" t="str">
        <x:v>kitchen</x:v>
      </x:c>
      <x:c r="F159" s="8" t="str">
        <x:v>Robot de cocina revisado por el equipo de Nodo Lavapiés, con accesorios básicos y guía de uso incluida.</x:v>
      </x:c>
      <x:c r="G159" s="8" t="str">
        <x:v>good</x:v>
      </x:c>
      <x:c r="H159" s="8" t="str">
        <x:v>available</x:v>
      </x:c>
      <x:c r="I159" s="23" t="n">
        <x:v>10</x:v>
      </x:c>
      <x:c r="J159" s="8" t="n">
        <x:v>5</x:v>
      </x:c>
      <x:c r="K159" s="23" t="n">
        <x:v>64</x:v>
      </x:c>
      <x:c r="L159" s="24" t="n">
        <x:v>1.3</x:v>
      </x:c>
      <x:c r="M159" s="8" t="str">
        <x:v>kitchen|centro|good</x:v>
      </x:c>
      <x:c r="N159" s="25" t="str">
        <x:v>2026-01-15</x:v>
      </x:c>
      <x:c r="O159" s="8" t="str">
        <x:f>IF(COUNTIF('Centros'!$A$2:$A$13,B159)=1,"OK","ERROR")</x:f>
        <x:v>OK</x:v>
      </x:c>
    </x:row>
    <x:row r="160">
      <x:c r="A160" s="8" t="str">
        <x:v>ITM-000159</x:v>
      </x:c>
      <x:c r="B160" s="8" t="str">
        <x:v>HUB-MAD-003</x:v>
      </x:c>
      <x:c r="C160" s="8" t="str">
        <x:v>Mochila de trekking 50L</x:v>
      </x:c>
      <x:c r="D160" s="8" t="str">
        <x:v>mochila-de-trekking-50l-itm-000159</x:v>
      </x:c>
      <x:c r="E160" s="8" t="str">
        <x:v>outdoor</x:v>
      </x:c>
      <x:c r="F160" s="8" t="str">
        <x:v>Mochila de trekking 50L revisado por el equipo de Nodo Palos de Moguer, con accesorios básicos y guía de uso incluida.</x:v>
      </x:c>
      <x:c r="G160" s="8" t="str">
        <x:v>good</x:v>
      </x:c>
      <x:c r="H160" s="8" t="str">
        <x:v>available</x:v>
      </x:c>
      <x:c r="I160" s="23" t="n">
        <x:v>20</x:v>
      </x:c>
      <x:c r="J160" s="8" t="n">
        <x:v>6</x:v>
      </x:c>
      <x:c r="K160" s="23" t="n">
        <x:v>81</x:v>
      </x:c>
      <x:c r="L160" s="24" t="n">
        <x:v>2.6</x:v>
      </x:c>
      <x:c r="M160" s="8" t="str">
        <x:v>outdoor|arganzuela|good</x:v>
      </x:c>
      <x:c r="N160" s="25" t="str">
        <x:v>2026-01-18</x:v>
      </x:c>
      <x:c r="O160" s="8" t="str">
        <x:f>IF(COUNTIF('Centros'!$A$2:$A$13,B160)=1,"OK","ERROR")</x:f>
        <x:v>OK</x:v>
      </x:c>
    </x:row>
    <x:row r="161">
      <x:c r="A161" s="8" t="str">
        <x:v>ITM-000160</x:v>
      </x:c>
      <x:c r="B161" s="8" t="str">
        <x:v>HUB-MAD-004</x:v>
      </x:c>
      <x:c r="C161" s="8" t="str">
        <x:v>Carrito de carga plegable</x:v>
      </x:c>
      <x:c r="D161" s="8" t="str">
        <x:v>carrito-de-carga-plegable-itm-000160</x:v>
      </x:c>
      <x:c r="E161" s="8" t="str">
        <x:v>mobility</x:v>
      </x:c>
      <x:c r="F161" s="8" t="str">
        <x:v>Carrito de carga plegable revisado por el equipo de Nodo Trafalgar, con accesorios básicos y guía de uso incluida.</x:v>
      </x:c>
      <x:c r="G161" s="8" t="str">
        <x:v>fair</x:v>
      </x:c>
      <x:c r="H161" s="8" t="str">
        <x:v>available</x:v>
      </x:c>
      <x:c r="I161" s="23" t="n">
        <x:v>30</x:v>
      </x:c>
      <x:c r="J161" s="8" t="n">
        <x:v>7</x:v>
      </x:c>
      <x:c r="K161" s="23" t="n">
        <x:v>98</x:v>
      </x:c>
      <x:c r="L161" s="24" t="n">
        <x:v>3.9</x:v>
      </x:c>
      <x:c r="M161" s="8" t="str">
        <x:v>mobility|chamberí|fair</x:v>
      </x:c>
      <x:c r="N161" s="25" t="str">
        <x:v>2026-01-21</x:v>
      </x:c>
      <x:c r="O161" s="8" t="str">
        <x:f>IF(COUNTIF('Centros'!$A$2:$A$13,B161)=1,"OK","ERROR")</x:f>
        <x:v>OK</x:v>
      </x:c>
    </x:row>
    <x:row r="162">
      <x:c r="A162" s="8" t="str">
        <x:v>ITM-000161</x:v>
      </x:c>
      <x:c r="B162" s="8" t="str">
        <x:v>HUB-MAD-005</x:v>
      </x:c>
      <x:c r="C162" s="8" t="str">
        <x:v>Altavoz autoamplificado</x:v>
      </x:c>
      <x:c r="D162" s="8" t="str">
        <x:v>altavoz-autoamplificado-itm-000161</x:v>
      </x:c>
      <x:c r="E162" s="8" t="str">
        <x:v>events</x:v>
      </x:c>
      <x:c r="F162" s="8" t="str">
        <x:v>Altavoz autoamplificado revisado por el equipo de Nodo Bellas Vistas, con accesorios básicos y guía de uso incluida.</x:v>
      </x:c>
      <x:c r="G162" s="8" t="str">
        <x:v>excellent</x:v>
      </x:c>
      <x:c r="H162" s="8" t="str">
        <x:v>available</x:v>
      </x:c>
      <x:c r="I162" s="23" t="n">
        <x:v>0</x:v>
      </x:c>
      <x:c r="J162" s="8" t="n">
        <x:v>3</x:v>
      </x:c>
      <x:c r="K162" s="23" t="n">
        <x:v>115</x:v>
      </x:c>
      <x:c r="L162" s="24" t="n">
        <x:v>5.2</x:v>
      </x:c>
      <x:c r="M162" s="8" t="str">
        <x:v>events|tetuán|excellent</x:v>
      </x:c>
      <x:c r="N162" s="25" t="str">
        <x:v>2026-01-24</x:v>
      </x:c>
      <x:c r="O162" s="8" t="str">
        <x:f>IF(COUNTIF('Centros'!$A$2:$A$13,B162)=1,"OK","ERROR")</x:f>
        <x:v>OK</x:v>
      </x:c>
    </x:row>
    <x:row r="163">
      <x:c r="A163" s="8" t="str">
        <x:v>ITM-000162</x:v>
      </x:c>
      <x:c r="B163" s="8" t="str">
        <x:v>HUB-MAD-006</x:v>
      </x:c>
      <x:c r="C163" s="8" t="str">
        <x:v>Kit de podcast</x:v>
      </x:c>
      <x:c r="D163" s="8" t="str">
        <x:v>kit-de-podcast-itm-000162</x:v>
      </x:c>
      <x:c r="E163" s="8" t="str">
        <x:v>technology</x:v>
      </x:c>
      <x:c r="F163" s="8" t="str">
        <x:v>Kit de podcast revisado por el equipo de Nodo Opañel, con accesorios básicos y guía de uso incluida.</x:v>
      </x:c>
      <x:c r="G163" s="8" t="str">
        <x:v>good</x:v>
      </x:c>
      <x:c r="H163" s="8" t="str">
        <x:v>available</x:v>
      </x:c>
      <x:c r="I163" s="23" t="n">
        <x:v>10</x:v>
      </x:c>
      <x:c r="J163" s="8" t="n">
        <x:v>4</x:v>
      </x:c>
      <x:c r="K163" s="23" t="n">
        <x:v>132</x:v>
      </x:c>
      <x:c r="L163" s="24" t="n">
        <x:v>6.5</x:v>
      </x:c>
      <x:c r="M163" s="8" t="str">
        <x:v>technology|carabanchel|good</x:v>
      </x:c>
      <x:c r="N163" s="25" t="str">
        <x:v>2026-01-27</x:v>
      </x:c>
      <x:c r="O163" s="8" t="str">
        <x:f>IF(COUNTIF('Centros'!$A$2:$A$13,B163)=1,"OK","ERROR")</x:f>
        <x:v>OK</x:v>
      </x:c>
    </x:row>
    <x:row r="164">
      <x:c r="A164" s="8" t="str">
        <x:v>ITM-000163</x:v>
      </x:c>
      <x:c r="B164" s="8" t="str">
        <x:v>HUB-MAD-007</x:v>
      </x:c>
      <x:c r="C164" s="8" t="str">
        <x:v>Caja de herramientas</x:v>
      </x:c>
      <x:c r="D164" s="8" t="str">
        <x:v>caja-de-herramientas-itm-000163</x:v>
      </x:c>
      <x:c r="E164" s="8" t="str">
        <x:v>tools</x:v>
      </x:c>
      <x:c r="F164" s="8" t="str">
        <x:v>Caja de herramientas revisado por el equipo de Nodo Almendrales, con accesorios básicos y guía de uso incluida.</x:v>
      </x:c>
      <x:c r="G164" s="8" t="str">
        <x:v>good</x:v>
      </x:c>
      <x:c r="H164" s="8" t="str">
        <x:v>available</x:v>
      </x:c>
      <x:c r="I164" s="23" t="n">
        <x:v>20</x:v>
      </x:c>
      <x:c r="J164" s="8" t="n">
        <x:v>5</x:v>
      </x:c>
      <x:c r="K164" s="23" t="n">
        <x:v>149</x:v>
      </x:c>
      <x:c r="L164" s="24" t="n">
        <x:v>7.8</x:v>
      </x:c>
      <x:c r="M164" s="8" t="str">
        <x:v>tools|usera|good</x:v>
      </x:c>
      <x:c r="N164" s="25" t="str">
        <x:v>2026-01-30</x:v>
      </x:c>
      <x:c r="O164" s="8" t="str">
        <x:f>IF(COUNTIF('Centros'!$A$2:$A$13,B164)=1,"OK","ERROR")</x:f>
        <x:v>OK</x:v>
      </x:c>
    </x:row>
    <x:row r="165">
      <x:c r="A165" s="8" t="str">
        <x:v>ITM-000164</x:v>
      </x:c>
      <x:c r="B165" s="8" t="str">
        <x:v>HUB-MAD-008</x:v>
      </x:c>
      <x:c r="C165" s="8" t="str">
        <x:v>Olla de gran capacidad</x:v>
      </x:c>
      <x:c r="D165" s="8" t="str">
        <x:v>olla-de-gran-capacidad-itm-000164</x:v>
      </x:c>
      <x:c r="E165" s="8" t="str">
        <x:v>kitchen</x:v>
      </x:c>
      <x:c r="F165" s="8" t="str">
        <x:v>Olla de gran capacidad revisado por el equipo de Nodo Numancia, con accesorios básicos y guía de uso incluida.</x:v>
      </x:c>
      <x:c r="G165" s="8" t="str">
        <x:v>fair</x:v>
      </x:c>
      <x:c r="H165" s="8" t="str">
        <x:v>available</x:v>
      </x:c>
      <x:c r="I165" s="23" t="n">
        <x:v>30</x:v>
      </x:c>
      <x:c r="J165" s="8" t="n">
        <x:v>6</x:v>
      </x:c>
      <x:c r="K165" s="23" t="n">
        <x:v>166</x:v>
      </x:c>
      <x:c r="L165" s="24" t="n">
        <x:v>9.1</x:v>
      </x:c>
      <x:c r="M165" s="8" t="str">
        <x:v>kitchen|puente de vallecas|fair</x:v>
      </x:c>
      <x:c r="N165" s="25" t="str">
        <x:v>2026-02-02</x:v>
      </x:c>
      <x:c r="O165" s="8" t="str">
        <x:f>IF(COUNTIF('Centros'!$A$2:$A$13,B165)=1,"OK","ERROR")</x:f>
        <x:v>OK</x:v>
      </x:c>
    </x:row>
    <x:row r="166">
      <x:c r="A166" s="8" t="str">
        <x:v>ITM-000165</x:v>
      </x:c>
      <x:c r="B166" s="8" t="str">
        <x:v>HUB-MAD-009</x:v>
      </x:c>
      <x:c r="C166" s="8" t="str">
        <x:v>Mesa de camping</x:v>
      </x:c>
      <x:c r="D166" s="8" t="str">
        <x:v>mesa-de-camping-itm-000165</x:v>
      </x:c>
      <x:c r="E166" s="8" t="str">
        <x:v>outdoor</x:v>
      </x:c>
      <x:c r="F166" s="8" t="str">
        <x:v>Mesa de camping revisado por el equipo de Nodo Pacífico, con accesorios básicos y guía de uso incluida.</x:v>
      </x:c>
      <x:c r="G166" s="8" t="str">
        <x:v>excellent</x:v>
      </x:c>
      <x:c r="H166" s="8" t="str">
        <x:v>available</x:v>
      </x:c>
      <x:c r="I166" s="23" t="n">
        <x:v>0</x:v>
      </x:c>
      <x:c r="J166" s="8" t="n">
        <x:v>7</x:v>
      </x:c>
      <x:c r="K166" s="23" t="n">
        <x:v>183</x:v>
      </x:c>
      <x:c r="L166" s="24" t="n">
        <x:v>1.9</x:v>
      </x:c>
      <x:c r="M166" s="8" t="str">
        <x:v>outdoor|retiro|excellent</x:v>
      </x:c>
      <x:c r="N166" s="25" t="str">
        <x:v>2026-02-05</x:v>
      </x:c>
      <x:c r="O166" s="8" t="str">
        <x:f>IF(COUNTIF('Centros'!$A$2:$A$13,B166)=1,"OK","ERROR")</x:f>
        <x:v>OK</x:v>
      </x:c>
    </x:row>
    <x:row r="167">
      <x:c r="A167" s="8" t="str">
        <x:v>ITM-000166</x:v>
      </x:c>
      <x:c r="B167" s="8" t="str">
        <x:v>HUB-MAD-010</x:v>
      </x:c>
      <x:c r="C167" s="8" t="str">
        <x:v>Silla infantil para bici</x:v>
      </x:c>
      <x:c r="D167" s="8" t="str">
        <x:v>silla-infantil-para-bici-itm-000166</x:v>
      </x:c>
      <x:c r="E167" s="8" t="str">
        <x:v>mobility</x:v>
      </x:c>
      <x:c r="F167" s="8" t="str">
        <x:v>Silla infantil para bici revisado por el equipo de Nodo Canillas, con accesorios básicos y guía de uso incluida.</x:v>
      </x:c>
      <x:c r="G167" s="8" t="str">
        <x:v>good</x:v>
      </x:c>
      <x:c r="H167" s="8" t="str">
        <x:v>available</x:v>
      </x:c>
      <x:c r="I167" s="23" t="n">
        <x:v>10</x:v>
      </x:c>
      <x:c r="J167" s="8" t="n">
        <x:v>3</x:v>
      </x:c>
      <x:c r="K167" s="23" t="n">
        <x:v>200</x:v>
      </x:c>
      <x:c r="L167" s="24" t="n">
        <x:v>3.2</x:v>
      </x:c>
      <x:c r="M167" s="8" t="str">
        <x:v>mobility|hortaleza|good</x:v>
      </x:c>
      <x:c r="N167" s="25" t="str">
        <x:v>2026-02-08</x:v>
      </x:c>
      <x:c r="O167" s="8" t="str">
        <x:f>IF(COUNTIF('Centros'!$A$2:$A$13,B167)=1,"OK","ERROR")</x:f>
        <x:v>OK</x:v>
      </x:c>
    </x:row>
    <x:row r="168">
      <x:c r="A168" s="8" t="str">
        <x:v>ITM-000167</x:v>
      </x:c>
      <x:c r="B168" s="8" t="str">
        <x:v>HUB-MAD-011</x:v>
      </x:c>
      <x:c r="C168" s="8" t="str">
        <x:v>Guirnalda exterior</x:v>
      </x:c>
      <x:c r="D168" s="8" t="str">
        <x:v>guirnalda-exterior-itm-000167</x:v>
      </x:c>
      <x:c r="E168" s="8" t="str">
        <x:v>events</x:v>
      </x:c>
      <x:c r="F168" s="8" t="str">
        <x:v>Guirnalda exterior revisado por el equipo de Nodo Puerta del Ángel, con accesorios básicos y guía de uso incluida.</x:v>
      </x:c>
      <x:c r="G168" s="8" t="str">
        <x:v>good</x:v>
      </x:c>
      <x:c r="H168" s="8" t="str">
        <x:v>available</x:v>
      </x:c>
      <x:c r="I168" s="23" t="n">
        <x:v>20</x:v>
      </x:c>
      <x:c r="J168" s="8" t="n">
        <x:v>4</x:v>
      </x:c>
      <x:c r="K168" s="23" t="n">
        <x:v>217</x:v>
      </x:c>
      <x:c r="L168" s="24" t="n">
        <x:v>4.5</x:v>
      </x:c>
      <x:c r="M168" s="8" t="str">
        <x:v>events|latina|good</x:v>
      </x:c>
      <x:c r="N168" s="25" t="str">
        <x:v>2026-02-11</x:v>
      </x:c>
      <x:c r="O168" s="8" t="str">
        <x:f>IF(COUNTIF('Centros'!$A$2:$A$13,B168)=1,"OK","ERROR")</x:f>
        <x:v>OK</x:v>
      </x:c>
    </x:row>
    <x:row r="169">
      <x:c r="A169" s="8" t="str">
        <x:v>ITM-000168</x:v>
      </x:c>
      <x:c r="B169" s="8" t="str">
        <x:v>HUB-MAD-012</x:v>
      </x:c>
      <x:c r="C169" s="8" t="str">
        <x:v>Cámara instantánea</x:v>
      </x:c>
      <x:c r="D169" s="8" t="str">
        <x:v>camara-instantanea-itm-000168</x:v>
      </x:c>
      <x:c r="E169" s="8" t="str">
        <x:v>technology</x:v>
      </x:c>
      <x:c r="F169" s="8" t="str">
        <x:v>Cámara instantánea revisado por el equipo de Nodo Argüelles, con accesorios básicos y guía de uso incluida.</x:v>
      </x:c>
      <x:c r="G169" s="8" t="str">
        <x:v>fair</x:v>
      </x:c>
      <x:c r="H169" s="8" t="str">
        <x:v>available</x:v>
      </x:c>
      <x:c r="I169" s="23" t="n">
        <x:v>30</x:v>
      </x:c>
      <x:c r="J169" s="8" t="n">
        <x:v>5</x:v>
      </x:c>
      <x:c r="K169" s="23" t="n">
        <x:v>234</x:v>
      </x:c>
      <x:c r="L169" s="24" t="n">
        <x:v>5.8</x:v>
      </x:c>
      <x:c r="M169" s="8" t="str">
        <x:v>technology|moncloa-aravaca|fair</x:v>
      </x:c>
      <x:c r="N169" s="25" t="str">
        <x:v>2026-02-14</x:v>
      </x:c>
      <x:c r="O169" s="8" t="str">
        <x:f>IF(COUNTIF('Centros'!$A$2:$A$13,B169)=1,"OK","ERROR")</x:f>
        <x:v>OK</x:v>
      </x:c>
    </x:row>
    <x:row r="170">
      <x:c r="A170" s="8" t="str">
        <x:v>ITM-000169</x:v>
      </x:c>
      <x:c r="B170" s="8" t="str">
        <x:v>HUB-MAD-001</x:v>
      </x:c>
      <x:c r="C170" s="8" t="str">
        <x:v>Hidrolimpiadora compacta</x:v>
      </x:c>
      <x:c r="D170" s="8" t="str">
        <x:v>hidrolimpiadora-compacta-itm-000169</x:v>
      </x:c>
      <x:c r="E170" s="8" t="str">
        <x:v>tools</x:v>
      </x:c>
      <x:c r="F170" s="8" t="str">
        <x:v>Hidrolimpiadora compacta revisado por el equipo de Nodo Malasaña, con accesorios básicos y guía de uso incluida.</x:v>
      </x:c>
      <x:c r="G170" s="8" t="str">
        <x:v>excellent</x:v>
      </x:c>
      <x:c r="H170" s="8" t="str">
        <x:v>available</x:v>
      </x:c>
      <x:c r="I170" s="23" t="n">
        <x:v>0</x:v>
      </x:c>
      <x:c r="J170" s="8" t="n">
        <x:v>6</x:v>
      </x:c>
      <x:c r="K170" s="23" t="n">
        <x:v>251</x:v>
      </x:c>
      <x:c r="L170" s="24" t="n">
        <x:v>7.1</x:v>
      </x:c>
      <x:c r="M170" s="8" t="str">
        <x:v>tools|centro|excellent</x:v>
      </x:c>
      <x:c r="N170" s="25" t="str">
        <x:v>2026-02-17</x:v>
      </x:c>
      <x:c r="O170" s="8" t="str">
        <x:f>IF(COUNTIF('Centros'!$A$2:$A$13,B170)=1,"OK","ERROR")</x:f>
        <x:v>OK</x:v>
      </x:c>
    </x:row>
    <x:row r="171">
      <x:c r="A171" s="8" t="str">
        <x:v>ITM-000170</x:v>
      </x:c>
      <x:c r="B171" s="8" t="str">
        <x:v>HUB-MAD-002</x:v>
      </x:c>
      <x:c r="C171" s="8" t="str">
        <x:v>Máquina de pasta</x:v>
      </x:c>
      <x:c r="D171" s="8" t="str">
        <x:v>maquina-de-pasta-itm-000170</x:v>
      </x:c>
      <x:c r="E171" s="8" t="str">
        <x:v>kitchen</x:v>
      </x:c>
      <x:c r="F171" s="8" t="str">
        <x:v>Máquina de pasta revisado por el equipo de Nodo Lavapiés, con accesorios básicos y guía de uso incluida.</x:v>
      </x:c>
      <x:c r="G171" s="8" t="str">
        <x:v>good</x:v>
      </x:c>
      <x:c r="H171" s="8" t="str">
        <x:v>available</x:v>
      </x:c>
      <x:c r="I171" s="23" t="n">
        <x:v>10</x:v>
      </x:c>
      <x:c r="J171" s="8" t="n">
        <x:v>7</x:v>
      </x:c>
      <x:c r="K171" s="23" t="n">
        <x:v>268</x:v>
      </x:c>
      <x:c r="L171" s="24" t="n">
        <x:v>8.4</x:v>
      </x:c>
      <x:c r="M171" s="8" t="str">
        <x:v>kitchen|centro|good</x:v>
      </x:c>
      <x:c r="N171" s="25" t="str">
        <x:v>2026-02-20</x:v>
      </x:c>
      <x:c r="O171" s="8" t="str">
        <x:f>IF(COUNTIF('Centros'!$A$2:$A$13,B171)=1,"OK","ERROR")</x:f>
        <x:v>OK</x:v>
      </x:c>
    </x:row>
    <x:row r="172">
      <x:c r="A172" s="8" t="str">
        <x:v>ITM-000171</x:v>
      </x:c>
      <x:c r="B172" s="8" t="str">
        <x:v>HUB-MAD-003</x:v>
      </x:c>
      <x:c r="C172" s="8" t="str">
        <x:v>Prismáticos 10x42</x:v>
      </x:c>
      <x:c r="D172" s="8" t="str">
        <x:v>prismaticos-10x42-itm-000171</x:v>
      </x:c>
      <x:c r="E172" s="8" t="str">
        <x:v>outdoor</x:v>
      </x:c>
      <x:c r="F172" s="8" t="str">
        <x:v>Prismáticos 10x42 revisado por el equipo de Nodo Palos de Moguer, con accesorios básicos y guía de uso incluida.</x:v>
      </x:c>
      <x:c r="G172" s="8" t="str">
        <x:v>good</x:v>
      </x:c>
      <x:c r="H172" s="8" t="str">
        <x:v>available</x:v>
      </x:c>
      <x:c r="I172" s="23" t="n">
        <x:v>20</x:v>
      </x:c>
      <x:c r="J172" s="8" t="n">
        <x:v>3</x:v>
      </x:c>
      <x:c r="K172" s="23" t="n">
        <x:v>45</x:v>
      </x:c>
      <x:c r="L172" s="24" t="n">
        <x:v>1.2</x:v>
      </x:c>
      <x:c r="M172" s="8" t="str">
        <x:v>outdoor|arganzuela|good</x:v>
      </x:c>
      <x:c r="N172" s="25" t="str">
        <x:v>2026-02-23</x:v>
      </x:c>
      <x:c r="O172" s="8" t="str">
        <x:f>IF(COUNTIF('Centros'!$A$2:$A$13,B172)=1,"OK","ERROR")</x:f>
        <x:v>OK</x:v>
      </x:c>
    </x:row>
    <x:row r="173">
      <x:c r="A173" s="8" t="str">
        <x:v>ITM-000172</x:v>
      </x:c>
      <x:c r="B173" s="8" t="str">
        <x:v>HUB-MAD-004</x:v>
      </x:c>
      <x:c r="C173" s="8" t="str">
        <x:v>Bomba de pie</x:v>
      </x:c>
      <x:c r="D173" s="8" t="str">
        <x:v>bomba-de-pie-itm-000172</x:v>
      </x:c>
      <x:c r="E173" s="8" t="str">
        <x:v>mobility</x:v>
      </x:c>
      <x:c r="F173" s="8" t="str">
        <x:v>Bomba de pie revisado por el equipo de Nodo Trafalgar, con accesorios básicos y guía de uso incluida.</x:v>
      </x:c>
      <x:c r="G173" s="8" t="str">
        <x:v>fair</x:v>
      </x:c>
      <x:c r="H173" s="8" t="str">
        <x:v>available</x:v>
      </x:c>
      <x:c r="I173" s="23" t="n">
        <x:v>30</x:v>
      </x:c>
      <x:c r="J173" s="8" t="n">
        <x:v>4</x:v>
      </x:c>
      <x:c r="K173" s="23" t="n">
        <x:v>62</x:v>
      </x:c>
      <x:c r="L173" s="24" t="n">
        <x:v>2.5</x:v>
      </x:c>
      <x:c r="M173" s="8" t="str">
        <x:v>mobility|chamberí|fair</x:v>
      </x:c>
      <x:c r="N173" s="25" t="str">
        <x:v>2026-02-26</x:v>
      </x:c>
      <x:c r="O173" s="8" t="str">
        <x:f>IF(COUNTIF('Centros'!$A$2:$A$13,B173)=1,"OK","ERROR")</x:f>
        <x:v>OK</x:v>
      </x:c>
    </x:row>
    <x:row r="174">
      <x:c r="A174" s="8" t="str">
        <x:v>ITM-000173</x:v>
      </x:c>
      <x:c r="B174" s="8" t="str">
        <x:v>HUB-MAD-005</x:v>
      </x:c>
      <x:c r="C174" s="8" t="str">
        <x:v>Carpa plegable 3x3</x:v>
      </x:c>
      <x:c r="D174" s="8" t="str">
        <x:v>carpa-plegable-3x3-itm-000173</x:v>
      </x:c>
      <x:c r="E174" s="8" t="str">
        <x:v>events</x:v>
      </x:c>
      <x:c r="F174" s="8" t="str">
        <x:v>Carpa plegable 3x3 revisado por el equipo de Nodo Bellas Vistas, con accesorios básicos y guía de uso incluida.</x:v>
      </x:c>
      <x:c r="G174" s="8" t="str">
        <x:v>excellent</x:v>
      </x:c>
      <x:c r="H174" s="8" t="str">
        <x:v>available</x:v>
      </x:c>
      <x:c r="I174" s="23" t="n">
        <x:v>0</x:v>
      </x:c>
      <x:c r="J174" s="8" t="n">
        <x:v>5</x:v>
      </x:c>
      <x:c r="K174" s="23" t="n">
        <x:v>79</x:v>
      </x:c>
      <x:c r="L174" s="24" t="n">
        <x:v>3.8</x:v>
      </x:c>
      <x:c r="M174" s="8" t="str">
        <x:v>events|tetuán|excellent</x:v>
      </x:c>
      <x:c r="N174" s="25" t="str">
        <x:v>2026-03-01</x:v>
      </x:c>
      <x:c r="O174" s="8" t="str">
        <x:f>IF(COUNTIF('Centros'!$A$2:$A$13,B174)=1,"OK","ERROR")</x:f>
        <x:v>OK</x:v>
      </x:c>
    </x:row>
    <x:row r="175">
      <x:c r="A175" s="8" t="str">
        <x:v>ITM-000174</x:v>
      </x:c>
      <x:c r="B175" s="8" t="str">
        <x:v>HUB-MAD-006</x:v>
      </x:c>
      <x:c r="C175" s="8" t="str">
        <x:v>Medidor láser</x:v>
      </x:c>
      <x:c r="D175" s="8" t="str">
        <x:v>medidor-laser-itm-000174</x:v>
      </x:c>
      <x:c r="E175" s="8" t="str">
        <x:v>technology</x:v>
      </x:c>
      <x:c r="F175" s="8" t="str">
        <x:v>Medidor láser revisado por el equipo de Nodo Opañel, con accesorios básicos y guía de uso incluida.</x:v>
      </x:c>
      <x:c r="G175" s="8" t="str">
        <x:v>good</x:v>
      </x:c>
      <x:c r="H175" s="8" t="str">
        <x:v>available</x:v>
      </x:c>
      <x:c r="I175" s="23" t="n">
        <x:v>10</x:v>
      </x:c>
      <x:c r="J175" s="8" t="n">
        <x:v>6</x:v>
      </x:c>
      <x:c r="K175" s="23" t="n">
        <x:v>96</x:v>
      </x:c>
      <x:c r="L175" s="24" t="n">
        <x:v>5.1</x:v>
      </x:c>
      <x:c r="M175" s="8" t="str">
        <x:v>technology|carabanchel|good</x:v>
      </x:c>
      <x:c r="N175" s="25" t="str">
        <x:v>2026-03-04</x:v>
      </x:c>
      <x:c r="O175" s="8" t="str">
        <x:f>IF(COUNTIF('Centros'!$A$2:$A$13,B175)=1,"OK","ERROR")</x:f>
        <x:v>OK</x:v>
      </x:c>
    </x:row>
    <x:row r="176">
      <x:c r="A176" s="8" t="str">
        <x:v>ITM-000175</x:v>
      </x:c>
      <x:c r="B176" s="8" t="str">
        <x:v>HUB-MAD-007</x:v>
      </x:c>
      <x:c r="C176" s="8" t="str">
        <x:v>Sierra de calar</x:v>
      </x:c>
      <x:c r="D176" s="8" t="str">
        <x:v>sierra-de-calar-itm-000175</x:v>
      </x:c>
      <x:c r="E176" s="8" t="str">
        <x:v>tools</x:v>
      </x:c>
      <x:c r="F176" s="8" t="str">
        <x:v>Sierra de calar revisado por el equipo de Nodo Almendrales, con accesorios básicos y guía de uso incluida.</x:v>
      </x:c>
      <x:c r="G176" s="8" t="str">
        <x:v>good</x:v>
      </x:c>
      <x:c r="H176" s="8" t="str">
        <x:v>maintenance</x:v>
      </x:c>
      <x:c r="I176" s="23" t="n">
        <x:v>0</x:v>
      </x:c>
      <x:c r="J176" s="8" t="n">
        <x:v>7</x:v>
      </x:c>
      <x:c r="K176" s="23" t="n">
        <x:v>113</x:v>
      </x:c>
      <x:c r="L176" s="24" t="n">
        <x:v>6.4</x:v>
      </x:c>
      <x:c r="M176" s="8" t="str">
        <x:v>tools|usera|good</x:v>
      </x:c>
      <x:c r="N176" s="25" t="str">
        <x:v>2026-03-07</x:v>
      </x:c>
      <x:c r="O176" s="8" t="str">
        <x:f>IF(COUNTIF('Centros'!$A$2:$A$13,B176)=1,"OK","ERROR")</x:f>
        <x:v>OK</x:v>
      </x:c>
    </x:row>
    <x:row r="177">
      <x:c r="A177" s="8" t="str">
        <x:v>ITM-000176</x:v>
      </x:c>
      <x:c r="B177" s="8" t="str">
        <x:v>HUB-MAD-008</x:v>
      </x:c>
      <x:c r="C177" s="8" t="str">
        <x:v>Batidora de vaso</x:v>
      </x:c>
      <x:c r="D177" s="8" t="str">
        <x:v>batidora-de-vaso-itm-000176</x:v>
      </x:c>
      <x:c r="E177" s="8" t="str">
        <x:v>kitchen</x:v>
      </x:c>
      <x:c r="F177" s="8" t="str">
        <x:v>Batidora de vaso revisado por el equipo de Nodo Numancia, con accesorios básicos y guía de uso incluida.</x:v>
      </x:c>
      <x:c r="G177" s="8" t="str">
        <x:v>fair</x:v>
      </x:c>
      <x:c r="H177" s="8" t="str">
        <x:v>available</x:v>
      </x:c>
      <x:c r="I177" s="23" t="n">
        <x:v>30</x:v>
      </x:c>
      <x:c r="J177" s="8" t="n">
        <x:v>3</x:v>
      </x:c>
      <x:c r="K177" s="23" t="n">
        <x:v>130</x:v>
      </x:c>
      <x:c r="L177" s="24" t="n">
        <x:v>7.7</x:v>
      </x:c>
      <x:c r="M177" s="8" t="str">
        <x:v>kitchen|puente de vallecas|fair</x:v>
      </x:c>
      <x:c r="N177" s="25" t="str">
        <x:v>2026-03-10</x:v>
      </x:c>
      <x:c r="O177" s="8" t="str">
        <x:f>IF(COUNTIF('Centros'!$A$2:$A$13,B177)=1,"OK","ERROR")</x:f>
        <x:v>OK</x:v>
      </x:c>
    </x:row>
    <x:row r="178">
      <x:c r="A178" s="8" t="str">
        <x:v>ITM-000177</x:v>
      </x:c>
      <x:c r="B178" s="8" t="str">
        <x:v>HUB-MAD-009</x:v>
      </x:c>
      <x:c r="C178" s="8" t="str">
        <x:v>Saco de dormir</x:v>
      </x:c>
      <x:c r="D178" s="8" t="str">
        <x:v>saco-de-dormir-itm-000177</x:v>
      </x:c>
      <x:c r="E178" s="8" t="str">
        <x:v>outdoor</x:v>
      </x:c>
      <x:c r="F178" s="8" t="str">
        <x:v>Saco de dormir revisado por el equipo de Nodo Pacífico, con accesorios básicos y guía de uso incluida.</x:v>
      </x:c>
      <x:c r="G178" s="8" t="str">
        <x:v>excellent</x:v>
      </x:c>
      <x:c r="H178" s="8" t="str">
        <x:v>available</x:v>
      </x:c>
      <x:c r="I178" s="23" t="n">
        <x:v>0</x:v>
      </x:c>
      <x:c r="J178" s="8" t="n">
        <x:v>4</x:v>
      </x:c>
      <x:c r="K178" s="23" t="n">
        <x:v>147</x:v>
      </x:c>
      <x:c r="L178" s="24" t="n">
        <x:v>9</x:v>
      </x:c>
      <x:c r="M178" s="8" t="str">
        <x:v>outdoor|retiro|excellent</x:v>
      </x:c>
      <x:c r="N178" s="25" t="str">
        <x:v>2026-03-13</x:v>
      </x:c>
      <x:c r="O178" s="8" t="str">
        <x:f>IF(COUNTIF('Centros'!$A$2:$A$13,B178)=1,"OK","ERROR")</x:f>
        <x:v>OK</x:v>
      </x:c>
    </x:row>
    <x:row r="179">
      <x:c r="A179" s="8" t="str">
        <x:v>ITM-000178</x:v>
      </x:c>
      <x:c r="B179" s="8" t="str">
        <x:v>HUB-MAD-010</x:v>
      </x:c>
      <x:c r="C179" s="8" t="str">
        <x:v>Kit reparación de bici</x:v>
      </x:c>
      <x:c r="D179" s="8" t="str">
        <x:v>kit-reparacion-de-bici-itm-000178</x:v>
      </x:c>
      <x:c r="E179" s="8" t="str">
        <x:v>mobility</x:v>
      </x:c>
      <x:c r="F179" s="8" t="str">
        <x:v>Kit reparación de bici revisado por el equipo de Nodo Canillas, con accesorios básicos y guía de uso incluida.</x:v>
      </x:c>
      <x:c r="G179" s="8" t="str">
        <x:v>good</x:v>
      </x:c>
      <x:c r="H179" s="8" t="str">
        <x:v>available</x:v>
      </x:c>
      <x:c r="I179" s="23" t="n">
        <x:v>10</x:v>
      </x:c>
      <x:c r="J179" s="8" t="n">
        <x:v>5</x:v>
      </x:c>
      <x:c r="K179" s="23" t="n">
        <x:v>164</x:v>
      </x:c>
      <x:c r="L179" s="24" t="n">
        <x:v>1.8</x:v>
      </x:c>
      <x:c r="M179" s="8" t="str">
        <x:v>mobility|hortaleza|good</x:v>
      </x:c>
      <x:c r="N179" s="25" t="str">
        <x:v>2026-03-16</x:v>
      </x:c>
      <x:c r="O179" s="8" t="str">
        <x:f>IF(COUNTIF('Centros'!$A$2:$A$13,B179)=1,"OK","ERROR")</x:f>
        <x:v>OK</x:v>
      </x:c>
    </x:row>
    <x:row r="180">
      <x:c r="A180" s="8" t="str">
        <x:v>ITM-000179</x:v>
      </x:c>
      <x:c r="B180" s="8" t="str">
        <x:v>HUB-MAD-011</x:v>
      </x:c>
      <x:c r="C180" s="8" t="str">
        <x:v>Pack de 30 sillas</x:v>
      </x:c>
      <x:c r="D180" s="8" t="str">
        <x:v>pack-de-30-sillas-itm-000179</x:v>
      </x:c>
      <x:c r="E180" s="8" t="str">
        <x:v>events</x:v>
      </x:c>
      <x:c r="F180" s="8" t="str">
        <x:v>Pack de 30 sillas revisado por el equipo de Nodo Puerta del Ángel, con accesorios básicos y guía de uso incluida.</x:v>
      </x:c>
      <x:c r="G180" s="8" t="str">
        <x:v>good</x:v>
      </x:c>
      <x:c r="H180" s="8" t="str">
        <x:v>available</x:v>
      </x:c>
      <x:c r="I180" s="23" t="n">
        <x:v>20</x:v>
      </x:c>
      <x:c r="J180" s="8" t="n">
        <x:v>6</x:v>
      </x:c>
      <x:c r="K180" s="23" t="n">
        <x:v>181</x:v>
      </x:c>
      <x:c r="L180" s="24" t="n">
        <x:v>3.1</x:v>
      </x:c>
      <x:c r="M180" s="8" t="str">
        <x:v>events|latina|good</x:v>
      </x:c>
      <x:c r="N180" s="25" t="str">
        <x:v>2026-03-19</x:v>
      </x:c>
      <x:c r="O180" s="8" t="str">
        <x:f>IF(COUNTIF('Centros'!$A$2:$A$13,B180)=1,"OK","ERROR")</x:f>
        <x:v>OK</x:v>
      </x:c>
    </x:row>
    <x:row r="181">
      <x:c r="A181" s="11" t="str">
        <x:v>ITM-000180</x:v>
      </x:c>
      <x:c r="B181" s="11" t="str">
        <x:v>HUB-MAD-012</x:v>
      </x:c>
      <x:c r="C181" s="11" t="str">
        <x:v>Tablet gráfica</x:v>
      </x:c>
      <x:c r="D181" s="11" t="str">
        <x:v>tablet-grafica-itm-000180</x:v>
      </x:c>
      <x:c r="E181" s="11" t="str">
        <x:v>technology</x:v>
      </x:c>
      <x:c r="F181" s="11" t="str">
        <x:v>Tablet gráfica revisado por el equipo de Nodo Argüelles, con accesorios básicos y guía de uso incluida.</x:v>
      </x:c>
      <x:c r="G181" s="11" t="str">
        <x:v>fair</x:v>
      </x:c>
      <x:c r="H181" s="11" t="str">
        <x:v>available</x:v>
      </x:c>
      <x:c r="I181" s="26" t="n">
        <x:v>30</x:v>
      </x:c>
      <x:c r="J181" s="11" t="n">
        <x:v>7</x:v>
      </x:c>
      <x:c r="K181" s="26" t="n">
        <x:v>198</x:v>
      </x:c>
      <x:c r="L181" s="27" t="n">
        <x:v>4.4</x:v>
      </x:c>
      <x:c r="M181" s="11" t="str">
        <x:v>technology|moncloa-aravaca|fair</x:v>
      </x:c>
      <x:c r="N181" s="28" t="str">
        <x:v>2026-03-22</x:v>
      </x:c>
      <x:c r="O181" s="11" t="str">
        <x:f>IF(COUNTIF('Centros'!$A$2:$A$13,B181)=1,"OK","ERROR")</x:f>
        <x:v>OK</x:v>
      </x:c>
    </x:row>
  </x:sheetData>
  <x:dataValidations count="2">
    <x:dataValidation type="list" sqref="E2:E181">
      <x:formula1>"tools,kitchen,outdoor,mobility,events,technology"</x:formula1>
    </x:dataValidation>
    <x:dataValidation type="list" sqref="H2:H181">
      <x:formula1>"available,maintenance,retired"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4999ae91343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13" hidden="0" customWidth="1"/>
    <x:col min="9" max="9" width="42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</x:cols>
  <x:sheetData>
    <x:row r="1" ht="32" customHeight="1">
      <x:c r="A1" s="7" t="str">
        <x:v>external_code</x:v>
      </x:c>
      <x:c r="B1" s="7" t="str">
        <x:v>user_code</x:v>
      </x:c>
      <x:c r="C1" s="7" t="str">
        <x:v>item_code</x:v>
      </x:c>
      <x:c r="D1" s="7" t="str">
        <x:v>pickup_hub_code</x:v>
      </x:c>
      <x:c r="E1" s="7" t="str">
        <x:v>requested_at</x:v>
      </x:c>
      <x:c r="F1" s="7" t="str">
        <x:v>starts_at</x:v>
      </x:c>
      <x:c r="G1" s="7" t="str">
        <x:v>ends_at</x:v>
      </x:c>
      <x:c r="H1" s="7" t="str">
        <x:v>status</x:v>
      </x:c>
      <x:c r="I1" s="7" t="str">
        <x:v>member_note</x:v>
      </x:c>
      <x:c r="J1" s="7" t="str">
        <x:v>returned_at</x:v>
      </x:c>
      <x:c r="K1" s="7" t="str">
        <x:v>user_relation_ok</x:v>
      </x:c>
      <x:c r="L1" s="7" t="str">
        <x:v>item_relation_ok</x:v>
      </x:c>
      <x:c r="M1" s="7" t="str">
        <x:v>hub_relation_ok</x:v>
      </x:c>
      <x:c r="N1" s="7" t="str">
        <x:v>date_range_ok</x:v>
      </x:c>
    </x:row>
    <x:row r="2">
      <x:c r="A2" s="8" t="str">
        <x:v>RSV-000001</x:v>
      </x:c>
      <x:c r="B2" s="8" t="str">
        <x:v>USR-0001</x:v>
      </x:c>
      <x:c r="C2" s="8" t="str">
        <x:v>ITM-000001</x:v>
      </x:c>
      <x:c r="D2" s="8" t="str">
        <x:v>HUB-MAD-001</x:v>
      </x:c>
      <x:c r="E2" s="10" t="n">
        <x:v>45659.375</x:v>
      </x:c>
      <x:c r="F2" s="10" t="n">
        <x:v>45663.375</x:v>
      </x:c>
      <x:c r="G2" s="10" t="n">
        <x:v>45665.375</x:v>
      </x:c>
      <x:c r="H2" s="8" t="str">
        <x:v>returned</x:v>
      </x:c>
      <x:c r="I2" s="8" t="str">
        <x:v>Recogida por la tarde, si es posible.</x:v>
      </x:c>
      <x:c r="J2" s="10" t="n">
        <x:v>45665.375</x:v>
      </x:c>
      <x:c r="K2" s="8" t="str">
        <x:f>IF(COUNTIF('Usuarios'!$A$2:$A$61,B2)=1,"OK","ERROR")</x:f>
        <x:v>OK</x:v>
      </x:c>
      <x:c r="L2" s="8" t="str">
        <x:f>IF(COUNTIF('Objetos'!$A$2:$A$181,C2)=1,"OK","ERROR")</x:f>
        <x:v>OK</x:v>
      </x:c>
      <x:c r="M2" s="8" t="str">
        <x:f>IF(COUNTIF('Centros'!$A$2:$A$13,D2)=1,"OK","ERROR")</x:f>
        <x:v>OK</x:v>
      </x:c>
      <x:c r="N2" s="8" t="str">
        <x:f>IF(AND(G2&gt;F2,G2-F2&lt;=INDEX('Objetos'!$J$2:$J$181,MATCH(C2,'Objetos'!$A$2:$A$181,0))),"OK","ERROR")</x:f>
        <x:v>OK</x:v>
      </x:c>
    </x:row>
    <x:row r="3">
      <x:c r="A3" s="8" t="str">
        <x:v>RSV-000002</x:v>
      </x:c>
      <x:c r="B3" s="8" t="str">
        <x:v>USR-0008</x:v>
      </x:c>
      <x:c r="C3" s="8" t="str">
        <x:v>ITM-000002</x:v>
      </x:c>
      <x:c r="D3" s="8" t="str">
        <x:v>HUB-MAD-002</x:v>
      </x:c>
      <x:c r="E3" s="10" t="n">
        <x:v>45661.375</x:v>
      </x:c>
      <x:c r="F3" s="10" t="n">
        <x:v>45665.375</x:v>
      </x:c>
      <x:c r="G3" s="10" t="n">
        <x:v>45668.375</x:v>
      </x:c>
      <x:c r="H3" s="8" t="str">
        <x:v>returned</x:v>
      </x:c>
      <x:c r="I3" s="8" t="str"/>
      <x:c r="J3" s="10" t="n">
        <x:v>45668.375</x:v>
      </x:c>
      <x:c r="K3" s="8" t="str">
        <x:f>IF(COUNTIF('Usuarios'!$A$2:$A$61,B3)=1,"OK","ERROR")</x:f>
        <x:v>OK</x:v>
      </x:c>
      <x:c r="L3" s="8" t="str">
        <x:f>IF(COUNTIF('Objetos'!$A$2:$A$181,C3)=1,"OK","ERROR")</x:f>
        <x:v>OK</x:v>
      </x:c>
      <x:c r="M3" s="8" t="str">
        <x:f>IF(COUNTIF('Centros'!$A$2:$A$13,D3)=1,"OK","ERROR")</x:f>
        <x:v>OK</x:v>
      </x:c>
      <x:c r="N3" s="8" t="str">
        <x:f>IF(AND(G3&gt;F3,G3-F3&lt;=INDEX('Objetos'!$J$2:$J$181,MATCH(C3,'Objetos'!$A$2:$A$181,0))),"OK","ERROR")</x:f>
        <x:v>OK</x:v>
      </x:c>
    </x:row>
    <x:row r="4">
      <x:c r="A4" s="8" t="str">
        <x:v>RSV-000003</x:v>
      </x:c>
      <x:c r="B4" s="8" t="str">
        <x:v>USR-0015</x:v>
      </x:c>
      <x:c r="C4" s="8" t="str">
        <x:v>ITM-000003</x:v>
      </x:c>
      <x:c r="D4" s="8" t="str">
        <x:v>HUB-MAD-003</x:v>
      </x:c>
      <x:c r="E4" s="10" t="n">
        <x:v>45663.375</x:v>
      </x:c>
      <x:c r="F4" s="10" t="n">
        <x:v>45667.375</x:v>
      </x:c>
      <x:c r="G4" s="10" t="n">
        <x:v>45671.375</x:v>
      </x:c>
      <x:c r="H4" s="8" t="str">
        <x:v>returned</x:v>
      </x:c>
      <x:c r="I4" s="8" t="str"/>
      <x:c r="J4" s="10" t="n">
        <x:v>45671.375</x:v>
      </x:c>
      <x:c r="K4" s="8" t="str">
        <x:f>IF(COUNTIF('Usuarios'!$A$2:$A$61,B4)=1,"OK","ERROR")</x:f>
        <x:v>OK</x:v>
      </x:c>
      <x:c r="L4" s="8" t="str">
        <x:f>IF(COUNTIF('Objetos'!$A$2:$A$181,C4)=1,"OK","ERROR")</x:f>
        <x:v>OK</x:v>
      </x:c>
      <x:c r="M4" s="8" t="str">
        <x:f>IF(COUNTIF('Centros'!$A$2:$A$13,D4)=1,"OK","ERROR")</x:f>
        <x:v>OK</x:v>
      </x:c>
      <x:c r="N4" s="8" t="str">
        <x:f>IF(AND(G4&gt;F4,G4-F4&lt;=INDEX('Objetos'!$J$2:$J$181,MATCH(C4,'Objetos'!$A$2:$A$181,0))),"OK","ERROR")</x:f>
        <x:v>OK</x:v>
      </x:c>
    </x:row>
    <x:row r="5">
      <x:c r="A5" s="8" t="str">
        <x:v>RSV-000004</x:v>
      </x:c>
      <x:c r="B5" s="8" t="str">
        <x:v>USR-0022</x:v>
      </x:c>
      <x:c r="C5" s="8" t="str">
        <x:v>ITM-000004</x:v>
      </x:c>
      <x:c r="D5" s="8" t="str">
        <x:v>HUB-MAD-004</x:v>
      </x:c>
      <x:c r="E5" s="10" t="n">
        <x:v>45665.375</x:v>
      </x:c>
      <x:c r="F5" s="10" t="n">
        <x:v>45669.375</x:v>
      </x:c>
      <x:c r="G5" s="10" t="n">
        <x:v>45671.375</x:v>
      </x:c>
      <x:c r="H5" s="8" t="str">
        <x:v>returned</x:v>
      </x:c>
      <x:c r="I5" s="8" t="str"/>
      <x:c r="J5" s="10" t="n">
        <x:v>45671.375</x:v>
      </x:c>
      <x:c r="K5" s="8" t="str">
        <x:f>IF(COUNTIF('Usuarios'!$A$2:$A$61,B5)=1,"OK","ERROR")</x:f>
        <x:v>OK</x:v>
      </x:c>
      <x:c r="L5" s="8" t="str">
        <x:f>IF(COUNTIF('Objetos'!$A$2:$A$181,C5)=1,"OK","ERROR")</x:f>
        <x:v>OK</x:v>
      </x:c>
      <x:c r="M5" s="8" t="str">
        <x:f>IF(COUNTIF('Centros'!$A$2:$A$13,D5)=1,"OK","ERROR")</x:f>
        <x:v>OK</x:v>
      </x:c>
      <x:c r="N5" s="8" t="str">
        <x:f>IF(AND(G5&gt;F5,G5-F5&lt;=INDEX('Objetos'!$J$2:$J$181,MATCH(C5,'Objetos'!$A$2:$A$181,0))),"OK","ERROR")</x:f>
        <x:v>OK</x:v>
      </x:c>
    </x:row>
    <x:row r="6">
      <x:c r="A6" s="8" t="str">
        <x:v>RSV-000005</x:v>
      </x:c>
      <x:c r="B6" s="8" t="str">
        <x:v>USR-0029</x:v>
      </x:c>
      <x:c r="C6" s="8" t="str">
        <x:v>ITM-000005</x:v>
      </x:c>
      <x:c r="D6" s="8" t="str">
        <x:v>HUB-MAD-005</x:v>
      </x:c>
      <x:c r="E6" s="10" t="n">
        <x:v>45667.375</x:v>
      </x:c>
      <x:c r="F6" s="10" t="n">
        <x:v>45671.375</x:v>
      </x:c>
      <x:c r="G6" s="10" t="n">
        <x:v>45674.375</x:v>
      </x:c>
      <x:c r="H6" s="8" t="str">
        <x:v>returned</x:v>
      </x:c>
      <x:c r="I6" s="8" t="str">
        <x:v>Recogida por la tarde, si es posible.</x:v>
      </x:c>
      <x:c r="J6" s="10" t="n">
        <x:v>45674.375</x:v>
      </x:c>
      <x:c r="K6" s="8" t="str">
        <x:f>IF(COUNTIF('Usuarios'!$A$2:$A$61,B6)=1,"OK","ERROR")</x:f>
        <x:v>OK</x:v>
      </x:c>
      <x:c r="L6" s="8" t="str">
        <x:f>IF(COUNTIF('Objetos'!$A$2:$A$181,C6)=1,"OK","ERROR")</x:f>
        <x:v>OK</x:v>
      </x:c>
      <x:c r="M6" s="8" t="str">
        <x:f>IF(COUNTIF('Centros'!$A$2:$A$13,D6)=1,"OK","ERROR")</x:f>
        <x:v>OK</x:v>
      </x:c>
      <x:c r="N6" s="8" t="str">
        <x:f>IF(AND(G6&gt;F6,G6-F6&lt;=INDEX('Objetos'!$J$2:$J$181,MATCH(C6,'Objetos'!$A$2:$A$181,0))),"OK","ERROR")</x:f>
        <x:v>OK</x:v>
      </x:c>
    </x:row>
    <x:row r="7">
      <x:c r="A7" s="8" t="str">
        <x:v>RSV-000006</x:v>
      </x:c>
      <x:c r="B7" s="8" t="str">
        <x:v>USR-0036</x:v>
      </x:c>
      <x:c r="C7" s="8" t="str">
        <x:v>ITM-000006</x:v>
      </x:c>
      <x:c r="D7" s="8" t="str">
        <x:v>HUB-MAD-006</x:v>
      </x:c>
      <x:c r="E7" s="10" t="n">
        <x:v>45669.375</x:v>
      </x:c>
      <x:c r="F7" s="10" t="n">
        <x:v>45673.375</x:v>
      </x:c>
      <x:c r="G7" s="10" t="n">
        <x:v>45676.375</x:v>
      </x:c>
      <x:c r="H7" s="8" t="str">
        <x:v>returned</x:v>
      </x:c>
      <x:c r="I7" s="8" t="str"/>
      <x:c r="J7" s="10" t="n">
        <x:v>45676.375</x:v>
      </x:c>
      <x:c r="K7" s="8" t="str">
        <x:f>IF(COUNTIF('Usuarios'!$A$2:$A$61,B7)=1,"OK","ERROR")</x:f>
        <x:v>OK</x:v>
      </x:c>
      <x:c r="L7" s="8" t="str">
        <x:f>IF(COUNTIF('Objetos'!$A$2:$A$181,C7)=1,"OK","ERROR")</x:f>
        <x:v>OK</x:v>
      </x:c>
      <x:c r="M7" s="8" t="str">
        <x:f>IF(COUNTIF('Centros'!$A$2:$A$13,D7)=1,"OK","ERROR")</x:f>
        <x:v>OK</x:v>
      </x:c>
      <x:c r="N7" s="8" t="str">
        <x:f>IF(AND(G7&gt;F7,G7-F7&lt;=INDEX('Objetos'!$J$2:$J$181,MATCH(C7,'Objetos'!$A$2:$A$181,0))),"OK","ERROR")</x:f>
        <x:v>OK</x:v>
      </x:c>
    </x:row>
    <x:row r="8">
      <x:c r="A8" s="8" t="str">
        <x:v>RSV-000007</x:v>
      </x:c>
      <x:c r="B8" s="8" t="str">
        <x:v>USR-0043</x:v>
      </x:c>
      <x:c r="C8" s="8" t="str">
        <x:v>ITM-000007</x:v>
      </x:c>
      <x:c r="D8" s="8" t="str">
        <x:v>HUB-MAD-007</x:v>
      </x:c>
      <x:c r="E8" s="10" t="n">
        <x:v>45671.375</x:v>
      </x:c>
      <x:c r="F8" s="10" t="n">
        <x:v>45675.375</x:v>
      </x:c>
      <x:c r="G8" s="10" t="n">
        <x:v>45677.375</x:v>
      </x:c>
      <x:c r="H8" s="8" t="str">
        <x:v>returned</x:v>
      </x:c>
      <x:c r="I8" s="8" t="str"/>
      <x:c r="J8" s="10" t="n">
        <x:v>45677.375</x:v>
      </x:c>
      <x:c r="K8" s="8" t="str">
        <x:f>IF(COUNTIF('Usuarios'!$A$2:$A$61,B8)=1,"OK","ERROR")</x:f>
        <x:v>OK</x:v>
      </x:c>
      <x:c r="L8" s="8" t="str">
        <x:f>IF(COUNTIF('Objetos'!$A$2:$A$181,C8)=1,"OK","ERROR")</x:f>
        <x:v>OK</x:v>
      </x:c>
      <x:c r="M8" s="8" t="str">
        <x:f>IF(COUNTIF('Centros'!$A$2:$A$13,D8)=1,"OK","ERROR")</x:f>
        <x:v>OK</x:v>
      </x:c>
      <x:c r="N8" s="8" t="str">
        <x:f>IF(AND(G8&gt;F8,G8-F8&lt;=INDEX('Objetos'!$J$2:$J$181,MATCH(C8,'Objetos'!$A$2:$A$181,0))),"OK","ERROR")</x:f>
        <x:v>OK</x:v>
      </x:c>
    </x:row>
    <x:row r="9">
      <x:c r="A9" s="8" t="str">
        <x:v>RSV-000008</x:v>
      </x:c>
      <x:c r="B9" s="8" t="str">
        <x:v>USR-0050</x:v>
      </x:c>
      <x:c r="C9" s="8" t="str">
        <x:v>ITM-000008</x:v>
      </x:c>
      <x:c r="D9" s="8" t="str">
        <x:v>HUB-MAD-008</x:v>
      </x:c>
      <x:c r="E9" s="10" t="n">
        <x:v>45673.375</x:v>
      </x:c>
      <x:c r="F9" s="10" t="n">
        <x:v>45677.375</x:v>
      </x:c>
      <x:c r="G9" s="10" t="n">
        <x:v>45680.375</x:v>
      </x:c>
      <x:c r="H9" s="8" t="str">
        <x:v>returned</x:v>
      </x:c>
      <x:c r="I9" s="8" t="str"/>
      <x:c r="J9" s="10" t="n">
        <x:v>45680.375</x:v>
      </x:c>
      <x:c r="K9" s="8" t="str">
        <x:f>IF(COUNTIF('Usuarios'!$A$2:$A$61,B9)=1,"OK","ERROR")</x:f>
        <x:v>OK</x:v>
      </x:c>
      <x:c r="L9" s="8" t="str">
        <x:f>IF(COUNTIF('Objetos'!$A$2:$A$181,C9)=1,"OK","ERROR")</x:f>
        <x:v>OK</x:v>
      </x:c>
      <x:c r="M9" s="8" t="str">
        <x:f>IF(COUNTIF('Centros'!$A$2:$A$13,D9)=1,"OK","ERROR")</x:f>
        <x:v>OK</x:v>
      </x:c>
      <x:c r="N9" s="8" t="str">
        <x:f>IF(AND(G9&gt;F9,G9-F9&lt;=INDEX('Objetos'!$J$2:$J$181,MATCH(C9,'Objetos'!$A$2:$A$181,0))),"OK","ERROR")</x:f>
        <x:v>OK</x:v>
      </x:c>
    </x:row>
    <x:row r="10">
      <x:c r="A10" s="8" t="str">
        <x:v>RSV-000009</x:v>
      </x:c>
      <x:c r="B10" s="8" t="str">
        <x:v>USR-0057</x:v>
      </x:c>
      <x:c r="C10" s="8" t="str">
        <x:v>ITM-000009</x:v>
      </x:c>
      <x:c r="D10" s="8" t="str">
        <x:v>HUB-MAD-009</x:v>
      </x:c>
      <x:c r="E10" s="10" t="n">
        <x:v>45675.375</x:v>
      </x:c>
      <x:c r="F10" s="10" t="n">
        <x:v>45679.375</x:v>
      </x:c>
      <x:c r="G10" s="10" t="n">
        <x:v>45683.375</x:v>
      </x:c>
      <x:c r="H10" s="8" t="str">
        <x:v>returned</x:v>
      </x:c>
      <x:c r="I10" s="8" t="str">
        <x:v>Recogida por la tarde, si es posible.</x:v>
      </x:c>
      <x:c r="J10" s="10" t="n">
        <x:v>45683.375</x:v>
      </x:c>
      <x:c r="K10" s="8" t="str">
        <x:f>IF(COUNTIF('Usuarios'!$A$2:$A$61,B10)=1,"OK","ERROR")</x:f>
        <x:v>OK</x:v>
      </x:c>
      <x:c r="L10" s="8" t="str">
        <x:f>IF(COUNTIF('Objetos'!$A$2:$A$181,C10)=1,"OK","ERROR")</x:f>
        <x:v>OK</x:v>
      </x:c>
      <x:c r="M10" s="8" t="str">
        <x:f>IF(COUNTIF('Centros'!$A$2:$A$13,D10)=1,"OK","ERROR")</x:f>
        <x:v>OK</x:v>
      </x:c>
      <x:c r="N10" s="8" t="str">
        <x:f>IF(AND(G10&gt;F10,G10-F10&lt;=INDEX('Objetos'!$J$2:$J$181,MATCH(C10,'Objetos'!$A$2:$A$181,0))),"OK","ERROR")</x:f>
        <x:v>OK</x:v>
      </x:c>
    </x:row>
    <x:row r="11">
      <x:c r="A11" s="8" t="str">
        <x:v>RSV-000010</x:v>
      </x:c>
      <x:c r="B11" s="8" t="str">
        <x:v>USR-0004</x:v>
      </x:c>
      <x:c r="C11" s="8" t="str">
        <x:v>ITM-000010</x:v>
      </x:c>
      <x:c r="D11" s="8" t="str">
        <x:v>HUB-MAD-010</x:v>
      </x:c>
      <x:c r="E11" s="10" t="n">
        <x:v>45677.375</x:v>
      </x:c>
      <x:c r="F11" s="10" t="n">
        <x:v>45681.375</x:v>
      </x:c>
      <x:c r="G11" s="10" t="n">
        <x:v>45683.375</x:v>
      </x:c>
      <x:c r="H11" s="8" t="str">
        <x:v>returned</x:v>
      </x:c>
      <x:c r="I11" s="8" t="str"/>
      <x:c r="J11" s="10" t="n">
        <x:v>45683.375</x:v>
      </x:c>
      <x:c r="K11" s="8" t="str">
        <x:f>IF(COUNTIF('Usuarios'!$A$2:$A$61,B11)=1,"OK","ERROR")</x:f>
        <x:v>OK</x:v>
      </x:c>
      <x:c r="L11" s="8" t="str">
        <x:f>IF(COUNTIF('Objetos'!$A$2:$A$181,C11)=1,"OK","ERROR")</x:f>
        <x:v>OK</x:v>
      </x:c>
      <x:c r="M11" s="8" t="str">
        <x:f>IF(COUNTIF('Centros'!$A$2:$A$13,D11)=1,"OK","ERROR")</x:f>
        <x:v>OK</x:v>
      </x:c>
      <x:c r="N11" s="8" t="str">
        <x:f>IF(AND(G11&gt;F11,G11-F11&lt;=INDEX('Objetos'!$J$2:$J$181,MATCH(C11,'Objetos'!$A$2:$A$181,0))),"OK","ERROR")</x:f>
        <x:v>OK</x:v>
      </x:c>
    </x:row>
    <x:row r="12">
      <x:c r="A12" s="8" t="str">
        <x:v>RSV-000011</x:v>
      </x:c>
      <x:c r="B12" s="8" t="str">
        <x:v>USR-0011</x:v>
      </x:c>
      <x:c r="C12" s="8" t="str">
        <x:v>ITM-000011</x:v>
      </x:c>
      <x:c r="D12" s="8" t="str">
        <x:v>HUB-MAD-011</x:v>
      </x:c>
      <x:c r="E12" s="10" t="n">
        <x:v>45679.375</x:v>
      </x:c>
      <x:c r="F12" s="10" t="n">
        <x:v>45683.375</x:v>
      </x:c>
      <x:c r="G12" s="10" t="n">
        <x:v>45686.375</x:v>
      </x:c>
      <x:c r="H12" s="8" t="str">
        <x:v>returned</x:v>
      </x:c>
      <x:c r="I12" s="8" t="str"/>
      <x:c r="J12" s="10" t="n">
        <x:v>45686.375</x:v>
      </x:c>
      <x:c r="K12" s="8" t="str">
        <x:f>IF(COUNTIF('Usuarios'!$A$2:$A$61,B12)=1,"OK","ERROR")</x:f>
        <x:v>OK</x:v>
      </x:c>
      <x:c r="L12" s="8" t="str">
        <x:f>IF(COUNTIF('Objetos'!$A$2:$A$181,C12)=1,"OK","ERROR")</x:f>
        <x:v>OK</x:v>
      </x:c>
      <x:c r="M12" s="8" t="str">
        <x:f>IF(COUNTIF('Centros'!$A$2:$A$13,D12)=1,"OK","ERROR")</x:f>
        <x:v>OK</x:v>
      </x:c>
      <x:c r="N12" s="8" t="str">
        <x:f>IF(AND(G12&gt;F12,G12-F12&lt;=INDEX('Objetos'!$J$2:$J$181,MATCH(C12,'Objetos'!$A$2:$A$181,0))),"OK","ERROR")</x:f>
        <x:v>OK</x:v>
      </x:c>
    </x:row>
    <x:row r="13">
      <x:c r="A13" s="8" t="str">
        <x:v>RSV-000012</x:v>
      </x:c>
      <x:c r="B13" s="8" t="str">
        <x:v>USR-0018</x:v>
      </x:c>
      <x:c r="C13" s="8" t="str">
        <x:v>ITM-000012</x:v>
      </x:c>
      <x:c r="D13" s="8" t="str">
        <x:v>HUB-MAD-012</x:v>
      </x:c>
      <x:c r="E13" s="10" t="n">
        <x:v>45681.375</x:v>
      </x:c>
      <x:c r="F13" s="10" t="n">
        <x:v>45685.375</x:v>
      </x:c>
      <x:c r="G13" s="10" t="n">
        <x:v>45689.375</x:v>
      </x:c>
      <x:c r="H13" s="8" t="str">
        <x:v>returned</x:v>
      </x:c>
      <x:c r="I13" s="8" t="str"/>
      <x:c r="J13" s="10" t="n">
        <x:v>45689.375</x:v>
      </x:c>
      <x:c r="K13" s="8" t="str">
        <x:f>IF(COUNTIF('Usuarios'!$A$2:$A$61,B13)=1,"OK","ERROR")</x:f>
        <x:v>OK</x:v>
      </x:c>
      <x:c r="L13" s="8" t="str">
        <x:f>IF(COUNTIF('Objetos'!$A$2:$A$181,C13)=1,"OK","ERROR")</x:f>
        <x:v>OK</x:v>
      </x:c>
      <x:c r="M13" s="8" t="str">
        <x:f>IF(COUNTIF('Centros'!$A$2:$A$13,D13)=1,"OK","ERROR")</x:f>
        <x:v>OK</x:v>
      </x:c>
      <x:c r="N13" s="8" t="str">
        <x:f>IF(AND(G13&gt;F13,G13-F13&lt;=INDEX('Objetos'!$J$2:$J$181,MATCH(C13,'Objetos'!$A$2:$A$181,0))),"OK","ERROR")</x:f>
        <x:v>OK</x:v>
      </x:c>
    </x:row>
    <x:row r="14">
      <x:c r="A14" s="8" t="str">
        <x:v>RSV-000013</x:v>
      </x:c>
      <x:c r="B14" s="8" t="str">
        <x:v>USR-0025</x:v>
      </x:c>
      <x:c r="C14" s="8" t="str">
        <x:v>ITM-000013</x:v>
      </x:c>
      <x:c r="D14" s="8" t="str">
        <x:v>HUB-MAD-001</x:v>
      </x:c>
      <x:c r="E14" s="10" t="n">
        <x:v>45683.375</x:v>
      </x:c>
      <x:c r="F14" s="10" t="n">
        <x:v>45687.375</x:v>
      </x:c>
      <x:c r="G14" s="10" t="n">
        <x:v>45689.375</x:v>
      </x:c>
      <x:c r="H14" s="8" t="str">
        <x:v>returned</x:v>
      </x:c>
      <x:c r="I14" s="8" t="str">
        <x:v>Recogida por la tarde, si es posible.</x:v>
      </x:c>
      <x:c r="J14" s="10" t="n">
        <x:v>45689.375</x:v>
      </x:c>
      <x:c r="K14" s="8" t="str">
        <x:f>IF(COUNTIF('Usuarios'!$A$2:$A$61,B14)=1,"OK","ERROR")</x:f>
        <x:v>OK</x:v>
      </x:c>
      <x:c r="L14" s="8" t="str">
        <x:f>IF(COUNTIF('Objetos'!$A$2:$A$181,C14)=1,"OK","ERROR")</x:f>
        <x:v>OK</x:v>
      </x:c>
      <x:c r="M14" s="8" t="str">
        <x:f>IF(COUNTIF('Centros'!$A$2:$A$13,D14)=1,"OK","ERROR")</x:f>
        <x:v>OK</x:v>
      </x:c>
      <x:c r="N14" s="8" t="str">
        <x:f>IF(AND(G14&gt;F14,G14-F14&lt;=INDEX('Objetos'!$J$2:$J$181,MATCH(C14,'Objetos'!$A$2:$A$181,0))),"OK","ERROR")</x:f>
        <x:v>OK</x:v>
      </x:c>
    </x:row>
    <x:row r="15">
      <x:c r="A15" s="8" t="str">
        <x:v>RSV-000014</x:v>
      </x:c>
      <x:c r="B15" s="8" t="str">
        <x:v>USR-0032</x:v>
      </x:c>
      <x:c r="C15" s="8" t="str">
        <x:v>ITM-000014</x:v>
      </x:c>
      <x:c r="D15" s="8" t="str">
        <x:v>HUB-MAD-002</x:v>
      </x:c>
      <x:c r="E15" s="10" t="n">
        <x:v>45685.375</x:v>
      </x:c>
      <x:c r="F15" s="10" t="n">
        <x:v>45689.375</x:v>
      </x:c>
      <x:c r="G15" s="10" t="n">
        <x:v>45692.375</x:v>
      </x:c>
      <x:c r="H15" s="8" t="str">
        <x:v>returned</x:v>
      </x:c>
      <x:c r="I15" s="8" t="str"/>
      <x:c r="J15" s="10" t="n">
        <x:v>45692.375</x:v>
      </x:c>
      <x:c r="K15" s="8" t="str">
        <x:f>IF(COUNTIF('Usuarios'!$A$2:$A$61,B15)=1,"OK","ERROR")</x:f>
        <x:v>OK</x:v>
      </x:c>
      <x:c r="L15" s="8" t="str">
        <x:f>IF(COUNTIF('Objetos'!$A$2:$A$181,C15)=1,"OK","ERROR")</x:f>
        <x:v>OK</x:v>
      </x:c>
      <x:c r="M15" s="8" t="str">
        <x:f>IF(COUNTIF('Centros'!$A$2:$A$13,D15)=1,"OK","ERROR")</x:f>
        <x:v>OK</x:v>
      </x:c>
      <x:c r="N15" s="8" t="str">
        <x:f>IF(AND(G15&gt;F15,G15-F15&lt;=INDEX('Objetos'!$J$2:$J$181,MATCH(C15,'Objetos'!$A$2:$A$181,0))),"OK","ERROR")</x:f>
        <x:v>OK</x:v>
      </x:c>
    </x:row>
    <x:row r="16">
      <x:c r="A16" s="8" t="str">
        <x:v>RSV-000015</x:v>
      </x:c>
      <x:c r="B16" s="8" t="str">
        <x:v>USR-0039</x:v>
      </x:c>
      <x:c r="C16" s="8" t="str">
        <x:v>ITM-000015</x:v>
      </x:c>
      <x:c r="D16" s="8" t="str">
        <x:v>HUB-MAD-003</x:v>
      </x:c>
      <x:c r="E16" s="10" t="n">
        <x:v>45687.375</x:v>
      </x:c>
      <x:c r="F16" s="10" t="n">
        <x:v>45691.375</x:v>
      </x:c>
      <x:c r="G16" s="10" t="n">
        <x:v>45695.375</x:v>
      </x:c>
      <x:c r="H16" s="8" t="str">
        <x:v>returned</x:v>
      </x:c>
      <x:c r="I16" s="8" t="str"/>
      <x:c r="J16" s="10" t="n">
        <x:v>45695.375</x:v>
      </x:c>
      <x:c r="K16" s="8" t="str">
        <x:f>IF(COUNTIF('Usuarios'!$A$2:$A$61,B16)=1,"OK","ERROR")</x:f>
        <x:v>OK</x:v>
      </x:c>
      <x:c r="L16" s="8" t="str">
        <x:f>IF(COUNTIF('Objetos'!$A$2:$A$181,C16)=1,"OK","ERROR")</x:f>
        <x:v>OK</x:v>
      </x:c>
      <x:c r="M16" s="8" t="str">
        <x:f>IF(COUNTIF('Centros'!$A$2:$A$13,D16)=1,"OK","ERROR")</x:f>
        <x:v>OK</x:v>
      </x:c>
      <x:c r="N16" s="8" t="str">
        <x:f>IF(AND(G16&gt;F16,G16-F16&lt;=INDEX('Objetos'!$J$2:$J$181,MATCH(C16,'Objetos'!$A$2:$A$181,0))),"OK","ERROR")</x:f>
        <x:v>OK</x:v>
      </x:c>
    </x:row>
    <x:row r="17">
      <x:c r="A17" s="8" t="str">
        <x:v>RSV-000016</x:v>
      </x:c>
      <x:c r="B17" s="8" t="str">
        <x:v>USR-0046</x:v>
      </x:c>
      <x:c r="C17" s="8" t="str">
        <x:v>ITM-000016</x:v>
      </x:c>
      <x:c r="D17" s="8" t="str">
        <x:v>HUB-MAD-004</x:v>
      </x:c>
      <x:c r="E17" s="10" t="n">
        <x:v>45689.375</x:v>
      </x:c>
      <x:c r="F17" s="10" t="n">
        <x:v>45693.375</x:v>
      </x:c>
      <x:c r="G17" s="10" t="n">
        <x:v>45695.375</x:v>
      </x:c>
      <x:c r="H17" s="8" t="str">
        <x:v>returned</x:v>
      </x:c>
      <x:c r="I17" s="8" t="str"/>
      <x:c r="J17" s="10" t="n">
        <x:v>45695.375</x:v>
      </x:c>
      <x:c r="K17" s="8" t="str">
        <x:f>IF(COUNTIF('Usuarios'!$A$2:$A$61,B17)=1,"OK","ERROR")</x:f>
        <x:v>OK</x:v>
      </x:c>
      <x:c r="L17" s="8" t="str">
        <x:f>IF(COUNTIF('Objetos'!$A$2:$A$181,C17)=1,"OK","ERROR")</x:f>
        <x:v>OK</x:v>
      </x:c>
      <x:c r="M17" s="8" t="str">
        <x:f>IF(COUNTIF('Centros'!$A$2:$A$13,D17)=1,"OK","ERROR")</x:f>
        <x:v>OK</x:v>
      </x:c>
      <x:c r="N17" s="8" t="str">
        <x:f>IF(AND(G17&gt;F17,G17-F17&lt;=INDEX('Objetos'!$J$2:$J$181,MATCH(C17,'Objetos'!$A$2:$A$181,0))),"OK","ERROR")</x:f>
        <x:v>OK</x:v>
      </x:c>
    </x:row>
    <x:row r="18">
      <x:c r="A18" s="8" t="str">
        <x:v>RSV-000017</x:v>
      </x:c>
      <x:c r="B18" s="8" t="str">
        <x:v>USR-0053</x:v>
      </x:c>
      <x:c r="C18" s="8" t="str">
        <x:v>ITM-000017</x:v>
      </x:c>
      <x:c r="D18" s="8" t="str">
        <x:v>HUB-MAD-005</x:v>
      </x:c>
      <x:c r="E18" s="10" t="n">
        <x:v>45691.375</x:v>
      </x:c>
      <x:c r="F18" s="10" t="n">
        <x:v>45695.375</x:v>
      </x:c>
      <x:c r="G18" s="10" t="n">
        <x:v>45698.375</x:v>
      </x:c>
      <x:c r="H18" s="8" t="str">
        <x:v>returned</x:v>
      </x:c>
      <x:c r="I18" s="8" t="str">
        <x:v>Recogida por la tarde, si es posible.</x:v>
      </x:c>
      <x:c r="J18" s="10" t="n">
        <x:v>45698.375</x:v>
      </x:c>
      <x:c r="K18" s="8" t="str">
        <x:f>IF(COUNTIF('Usuarios'!$A$2:$A$61,B18)=1,"OK","ERROR")</x:f>
        <x:v>OK</x:v>
      </x:c>
      <x:c r="L18" s="8" t="str">
        <x:f>IF(COUNTIF('Objetos'!$A$2:$A$181,C18)=1,"OK","ERROR")</x:f>
        <x:v>OK</x:v>
      </x:c>
      <x:c r="M18" s="8" t="str">
        <x:f>IF(COUNTIF('Centros'!$A$2:$A$13,D18)=1,"OK","ERROR")</x:f>
        <x:v>OK</x:v>
      </x:c>
      <x:c r="N18" s="8" t="str">
        <x:f>IF(AND(G18&gt;F18,G18-F18&lt;=INDEX('Objetos'!$J$2:$J$181,MATCH(C18,'Objetos'!$A$2:$A$181,0))),"OK","ERROR")</x:f>
        <x:v>OK</x:v>
      </x:c>
    </x:row>
    <x:row r="19">
      <x:c r="A19" s="8" t="str">
        <x:v>RSV-000018</x:v>
      </x:c>
      <x:c r="B19" s="8" t="str">
        <x:v>USR-0060</x:v>
      </x:c>
      <x:c r="C19" s="8" t="str">
        <x:v>ITM-000018</x:v>
      </x:c>
      <x:c r="D19" s="8" t="str">
        <x:v>HUB-MAD-006</x:v>
      </x:c>
      <x:c r="E19" s="10" t="n">
        <x:v>45693.375</x:v>
      </x:c>
      <x:c r="F19" s="10" t="n">
        <x:v>45697.375</x:v>
      </x:c>
      <x:c r="G19" s="10" t="n">
        <x:v>45701.375</x:v>
      </x:c>
      <x:c r="H19" s="8" t="str">
        <x:v>returned</x:v>
      </x:c>
      <x:c r="I19" s="8" t="str"/>
      <x:c r="J19" s="10" t="n">
        <x:v>45701.375</x:v>
      </x:c>
      <x:c r="K19" s="8" t="str">
        <x:f>IF(COUNTIF('Usuarios'!$A$2:$A$61,B19)=1,"OK","ERROR")</x:f>
        <x:v>OK</x:v>
      </x:c>
      <x:c r="L19" s="8" t="str">
        <x:f>IF(COUNTIF('Objetos'!$A$2:$A$181,C19)=1,"OK","ERROR")</x:f>
        <x:v>OK</x:v>
      </x:c>
      <x:c r="M19" s="8" t="str">
        <x:f>IF(COUNTIF('Centros'!$A$2:$A$13,D19)=1,"OK","ERROR")</x:f>
        <x:v>OK</x:v>
      </x:c>
      <x:c r="N19" s="8" t="str">
        <x:f>IF(AND(G19&gt;F19,G19-F19&lt;=INDEX('Objetos'!$J$2:$J$181,MATCH(C19,'Objetos'!$A$2:$A$181,0))),"OK","ERROR")</x:f>
        <x:v>OK</x:v>
      </x:c>
    </x:row>
    <x:row r="20">
      <x:c r="A20" s="8" t="str">
        <x:v>RSV-000019</x:v>
      </x:c>
      <x:c r="B20" s="8" t="str">
        <x:v>USR-0007</x:v>
      </x:c>
      <x:c r="C20" s="8" t="str">
        <x:v>ITM-000019</x:v>
      </x:c>
      <x:c r="D20" s="8" t="str">
        <x:v>HUB-MAD-007</x:v>
      </x:c>
      <x:c r="E20" s="10" t="n">
        <x:v>45695.375</x:v>
      </x:c>
      <x:c r="F20" s="10" t="n">
        <x:v>45699.375</x:v>
      </x:c>
      <x:c r="G20" s="10" t="n">
        <x:v>45701.375</x:v>
      </x:c>
      <x:c r="H20" s="8" t="str">
        <x:v>returned</x:v>
      </x:c>
      <x:c r="I20" s="8" t="str"/>
      <x:c r="J20" s="10" t="n">
        <x:v>45701.375</x:v>
      </x:c>
      <x:c r="K20" s="8" t="str">
        <x:f>IF(COUNTIF('Usuarios'!$A$2:$A$61,B20)=1,"OK","ERROR")</x:f>
        <x:v>OK</x:v>
      </x:c>
      <x:c r="L20" s="8" t="str">
        <x:f>IF(COUNTIF('Objetos'!$A$2:$A$181,C20)=1,"OK","ERROR")</x:f>
        <x:v>OK</x:v>
      </x:c>
      <x:c r="M20" s="8" t="str">
        <x:f>IF(COUNTIF('Centros'!$A$2:$A$13,D20)=1,"OK","ERROR")</x:f>
        <x:v>OK</x:v>
      </x:c>
      <x:c r="N20" s="8" t="str">
        <x:f>IF(AND(G20&gt;F20,G20-F20&lt;=INDEX('Objetos'!$J$2:$J$181,MATCH(C20,'Objetos'!$A$2:$A$181,0))),"OK","ERROR")</x:f>
        <x:v>OK</x:v>
      </x:c>
    </x:row>
    <x:row r="21">
      <x:c r="A21" s="8" t="str">
        <x:v>RSV-000020</x:v>
      </x:c>
      <x:c r="B21" s="8" t="str">
        <x:v>USR-0014</x:v>
      </x:c>
      <x:c r="C21" s="8" t="str">
        <x:v>ITM-000020</x:v>
      </x:c>
      <x:c r="D21" s="8" t="str">
        <x:v>HUB-MAD-008</x:v>
      </x:c>
      <x:c r="E21" s="10" t="n">
        <x:v>45697.375</x:v>
      </x:c>
      <x:c r="F21" s="10" t="n">
        <x:v>45701.375</x:v>
      </x:c>
      <x:c r="G21" s="10" t="n">
        <x:v>45704.375</x:v>
      </x:c>
      <x:c r="H21" s="8" t="str">
        <x:v>returned</x:v>
      </x:c>
      <x:c r="I21" s="8" t="str"/>
      <x:c r="J21" s="10" t="n">
        <x:v>45704.375</x:v>
      </x:c>
      <x:c r="K21" s="8" t="str">
        <x:f>IF(COUNTIF('Usuarios'!$A$2:$A$61,B21)=1,"OK","ERROR")</x:f>
        <x:v>OK</x:v>
      </x:c>
      <x:c r="L21" s="8" t="str">
        <x:f>IF(COUNTIF('Objetos'!$A$2:$A$181,C21)=1,"OK","ERROR")</x:f>
        <x:v>OK</x:v>
      </x:c>
      <x:c r="M21" s="8" t="str">
        <x:f>IF(COUNTIF('Centros'!$A$2:$A$13,D21)=1,"OK","ERROR")</x:f>
        <x:v>OK</x:v>
      </x:c>
      <x:c r="N21" s="8" t="str">
        <x:f>IF(AND(G21&gt;F21,G21-F21&lt;=INDEX('Objetos'!$J$2:$J$181,MATCH(C21,'Objetos'!$A$2:$A$181,0))),"OK","ERROR")</x:f>
        <x:v>OK</x:v>
      </x:c>
    </x:row>
    <x:row r="22">
      <x:c r="A22" s="8" t="str">
        <x:v>RSV-000021</x:v>
      </x:c>
      <x:c r="B22" s="8" t="str">
        <x:v>USR-0021</x:v>
      </x:c>
      <x:c r="C22" s="8" t="str">
        <x:v>ITM-000021</x:v>
      </x:c>
      <x:c r="D22" s="8" t="str">
        <x:v>HUB-MAD-009</x:v>
      </x:c>
      <x:c r="E22" s="10" t="n">
        <x:v>45699.375</x:v>
      </x:c>
      <x:c r="F22" s="10" t="n">
        <x:v>45703.375</x:v>
      </x:c>
      <x:c r="G22" s="10" t="n">
        <x:v>45706.375</x:v>
      </x:c>
      <x:c r="H22" s="8" t="str">
        <x:v>returned</x:v>
      </x:c>
      <x:c r="I22" s="8" t="str">
        <x:v>Recogida por la tarde, si es posible.</x:v>
      </x:c>
      <x:c r="J22" s="10" t="n">
        <x:v>45706.375</x:v>
      </x:c>
      <x:c r="K22" s="8" t="str">
        <x:f>IF(COUNTIF('Usuarios'!$A$2:$A$61,B22)=1,"OK","ERROR")</x:f>
        <x:v>OK</x:v>
      </x:c>
      <x:c r="L22" s="8" t="str">
        <x:f>IF(COUNTIF('Objetos'!$A$2:$A$181,C22)=1,"OK","ERROR")</x:f>
        <x:v>OK</x:v>
      </x:c>
      <x:c r="M22" s="8" t="str">
        <x:f>IF(COUNTIF('Centros'!$A$2:$A$13,D22)=1,"OK","ERROR")</x:f>
        <x:v>OK</x:v>
      </x:c>
      <x:c r="N22" s="8" t="str">
        <x:f>IF(AND(G22&gt;F22,G22-F22&lt;=INDEX('Objetos'!$J$2:$J$181,MATCH(C22,'Objetos'!$A$2:$A$181,0))),"OK","ERROR")</x:f>
        <x:v>OK</x:v>
      </x:c>
    </x:row>
    <x:row r="23">
      <x:c r="A23" s="8" t="str">
        <x:v>RSV-000022</x:v>
      </x:c>
      <x:c r="B23" s="8" t="str">
        <x:v>USR-0028</x:v>
      </x:c>
      <x:c r="C23" s="8" t="str">
        <x:v>ITM-000022</x:v>
      </x:c>
      <x:c r="D23" s="8" t="str">
        <x:v>HUB-MAD-010</x:v>
      </x:c>
      <x:c r="E23" s="10" t="n">
        <x:v>45701.375</x:v>
      </x:c>
      <x:c r="F23" s="10" t="n">
        <x:v>45705.375</x:v>
      </x:c>
      <x:c r="G23" s="10" t="n">
        <x:v>45707.375</x:v>
      </x:c>
      <x:c r="H23" s="8" t="str">
        <x:v>returned</x:v>
      </x:c>
      <x:c r="I23" s="8" t="str"/>
      <x:c r="J23" s="10" t="n">
        <x:v>45707.375</x:v>
      </x:c>
      <x:c r="K23" s="8" t="str">
        <x:f>IF(COUNTIF('Usuarios'!$A$2:$A$61,B23)=1,"OK","ERROR")</x:f>
        <x:v>OK</x:v>
      </x:c>
      <x:c r="L23" s="8" t="str">
        <x:f>IF(COUNTIF('Objetos'!$A$2:$A$181,C23)=1,"OK","ERROR")</x:f>
        <x:v>OK</x:v>
      </x:c>
      <x:c r="M23" s="8" t="str">
        <x:f>IF(COUNTIF('Centros'!$A$2:$A$13,D23)=1,"OK","ERROR")</x:f>
        <x:v>OK</x:v>
      </x:c>
      <x:c r="N23" s="8" t="str">
        <x:f>IF(AND(G23&gt;F23,G23-F23&lt;=INDEX('Objetos'!$J$2:$J$181,MATCH(C23,'Objetos'!$A$2:$A$181,0))),"OK","ERROR")</x:f>
        <x:v>OK</x:v>
      </x:c>
    </x:row>
    <x:row r="24">
      <x:c r="A24" s="8" t="str">
        <x:v>RSV-000023</x:v>
      </x:c>
      <x:c r="B24" s="8" t="str">
        <x:v>USR-0035</x:v>
      </x:c>
      <x:c r="C24" s="8" t="str">
        <x:v>ITM-000023</x:v>
      </x:c>
      <x:c r="D24" s="8" t="str">
        <x:v>HUB-MAD-011</x:v>
      </x:c>
      <x:c r="E24" s="10" t="n">
        <x:v>45703.375</x:v>
      </x:c>
      <x:c r="F24" s="10" t="n">
        <x:v>45707.375</x:v>
      </x:c>
      <x:c r="G24" s="10" t="n">
        <x:v>45710.375</x:v>
      </x:c>
      <x:c r="H24" s="8" t="str">
        <x:v>returned</x:v>
      </x:c>
      <x:c r="I24" s="8" t="str"/>
      <x:c r="J24" s="10" t="n">
        <x:v>45710.375</x:v>
      </x:c>
      <x:c r="K24" s="8" t="str">
        <x:f>IF(COUNTIF('Usuarios'!$A$2:$A$61,B24)=1,"OK","ERROR")</x:f>
        <x:v>OK</x:v>
      </x:c>
      <x:c r="L24" s="8" t="str">
        <x:f>IF(COUNTIF('Objetos'!$A$2:$A$181,C24)=1,"OK","ERROR")</x:f>
        <x:v>OK</x:v>
      </x:c>
      <x:c r="M24" s="8" t="str">
        <x:f>IF(COUNTIF('Centros'!$A$2:$A$13,D24)=1,"OK","ERROR")</x:f>
        <x:v>OK</x:v>
      </x:c>
      <x:c r="N24" s="8" t="str">
        <x:f>IF(AND(G24&gt;F24,G24-F24&lt;=INDEX('Objetos'!$J$2:$J$181,MATCH(C24,'Objetos'!$A$2:$A$181,0))),"OK","ERROR")</x:f>
        <x:v>OK</x:v>
      </x:c>
    </x:row>
    <x:row r="25">
      <x:c r="A25" s="8" t="str">
        <x:v>RSV-000024</x:v>
      </x:c>
      <x:c r="B25" s="8" t="str">
        <x:v>USR-0042</x:v>
      </x:c>
      <x:c r="C25" s="8" t="str">
        <x:v>ITM-000024</x:v>
      </x:c>
      <x:c r="D25" s="8" t="str">
        <x:v>HUB-MAD-012</x:v>
      </x:c>
      <x:c r="E25" s="10" t="n">
        <x:v>45705.375</x:v>
      </x:c>
      <x:c r="F25" s="10" t="n">
        <x:v>45709.375</x:v>
      </x:c>
      <x:c r="G25" s="10" t="n">
        <x:v>45713.375</x:v>
      </x:c>
      <x:c r="H25" s="8" t="str">
        <x:v>returned</x:v>
      </x:c>
      <x:c r="I25" s="8" t="str"/>
      <x:c r="J25" s="10" t="n">
        <x:v>45713.375</x:v>
      </x:c>
      <x:c r="K25" s="8" t="str">
        <x:f>IF(COUNTIF('Usuarios'!$A$2:$A$61,B25)=1,"OK","ERROR")</x:f>
        <x:v>OK</x:v>
      </x:c>
      <x:c r="L25" s="8" t="str">
        <x:f>IF(COUNTIF('Objetos'!$A$2:$A$181,C25)=1,"OK","ERROR")</x:f>
        <x:v>OK</x:v>
      </x:c>
      <x:c r="M25" s="8" t="str">
        <x:f>IF(COUNTIF('Centros'!$A$2:$A$13,D25)=1,"OK","ERROR")</x:f>
        <x:v>OK</x:v>
      </x:c>
      <x:c r="N25" s="8" t="str">
        <x:f>IF(AND(G25&gt;F25,G25-F25&lt;=INDEX('Objetos'!$J$2:$J$181,MATCH(C25,'Objetos'!$A$2:$A$181,0))),"OK","ERROR")</x:f>
        <x:v>OK</x:v>
      </x:c>
    </x:row>
    <x:row r="26">
      <x:c r="A26" s="8" t="str">
        <x:v>RSV-000025</x:v>
      </x:c>
      <x:c r="B26" s="8" t="str">
        <x:v>USR-0049</x:v>
      </x:c>
      <x:c r="C26" s="8" t="str">
        <x:v>ITM-000025</x:v>
      </x:c>
      <x:c r="D26" s="8" t="str">
        <x:v>HUB-MAD-001</x:v>
      </x:c>
      <x:c r="E26" s="10" t="n">
        <x:v>45707.375</x:v>
      </x:c>
      <x:c r="F26" s="10" t="n">
        <x:v>45711.375</x:v>
      </x:c>
      <x:c r="G26" s="10" t="n">
        <x:v>45713.375</x:v>
      </x:c>
      <x:c r="H26" s="8" t="str">
        <x:v>returned</x:v>
      </x:c>
      <x:c r="I26" s="8" t="str">
        <x:v>Recogida por la tarde, si es posible.</x:v>
      </x:c>
      <x:c r="J26" s="10" t="n">
        <x:v>45713.375</x:v>
      </x:c>
      <x:c r="K26" s="8" t="str">
        <x:f>IF(COUNTIF('Usuarios'!$A$2:$A$61,B26)=1,"OK","ERROR")</x:f>
        <x:v>OK</x:v>
      </x:c>
      <x:c r="L26" s="8" t="str">
        <x:f>IF(COUNTIF('Objetos'!$A$2:$A$181,C26)=1,"OK","ERROR")</x:f>
        <x:v>OK</x:v>
      </x:c>
      <x:c r="M26" s="8" t="str">
        <x:f>IF(COUNTIF('Centros'!$A$2:$A$13,D26)=1,"OK","ERROR")</x:f>
        <x:v>OK</x:v>
      </x:c>
      <x:c r="N26" s="8" t="str">
        <x:f>IF(AND(G26&gt;F26,G26-F26&lt;=INDEX('Objetos'!$J$2:$J$181,MATCH(C26,'Objetos'!$A$2:$A$181,0))),"OK","ERROR")</x:f>
        <x:v>OK</x:v>
      </x:c>
    </x:row>
    <x:row r="27">
      <x:c r="A27" s="8" t="str">
        <x:v>RSV-000026</x:v>
      </x:c>
      <x:c r="B27" s="8" t="str">
        <x:v>USR-0056</x:v>
      </x:c>
      <x:c r="C27" s="8" t="str">
        <x:v>ITM-000026</x:v>
      </x:c>
      <x:c r="D27" s="8" t="str">
        <x:v>HUB-MAD-002</x:v>
      </x:c>
      <x:c r="E27" s="10" t="n">
        <x:v>45709.375</x:v>
      </x:c>
      <x:c r="F27" s="10" t="n">
        <x:v>45713.375</x:v>
      </x:c>
      <x:c r="G27" s="10" t="n">
        <x:v>45716.375</x:v>
      </x:c>
      <x:c r="H27" s="8" t="str">
        <x:v>returned</x:v>
      </x:c>
      <x:c r="I27" s="8" t="str"/>
      <x:c r="J27" s="10" t="n">
        <x:v>45716.375</x:v>
      </x:c>
      <x:c r="K27" s="8" t="str">
        <x:f>IF(COUNTIF('Usuarios'!$A$2:$A$61,B27)=1,"OK","ERROR")</x:f>
        <x:v>OK</x:v>
      </x:c>
      <x:c r="L27" s="8" t="str">
        <x:f>IF(COUNTIF('Objetos'!$A$2:$A$181,C27)=1,"OK","ERROR")</x:f>
        <x:v>OK</x:v>
      </x:c>
      <x:c r="M27" s="8" t="str">
        <x:f>IF(COUNTIF('Centros'!$A$2:$A$13,D27)=1,"OK","ERROR")</x:f>
        <x:v>OK</x:v>
      </x:c>
      <x:c r="N27" s="8" t="str">
        <x:f>IF(AND(G27&gt;F27,G27-F27&lt;=INDEX('Objetos'!$J$2:$J$181,MATCH(C27,'Objetos'!$A$2:$A$181,0))),"OK","ERROR")</x:f>
        <x:v>OK</x:v>
      </x:c>
    </x:row>
    <x:row r="28">
      <x:c r="A28" s="8" t="str">
        <x:v>RSV-000027</x:v>
      </x:c>
      <x:c r="B28" s="8" t="str">
        <x:v>USR-0003</x:v>
      </x:c>
      <x:c r="C28" s="8" t="str">
        <x:v>ITM-000027</x:v>
      </x:c>
      <x:c r="D28" s="8" t="str">
        <x:v>HUB-MAD-003</x:v>
      </x:c>
      <x:c r="E28" s="10" t="n">
        <x:v>45711.375</x:v>
      </x:c>
      <x:c r="F28" s="10" t="n">
        <x:v>45715.375</x:v>
      </x:c>
      <x:c r="G28" s="10" t="n">
        <x:v>45719.375</x:v>
      </x:c>
      <x:c r="H28" s="8" t="str">
        <x:v>returned</x:v>
      </x:c>
      <x:c r="I28" s="8" t="str"/>
      <x:c r="J28" s="10" t="n">
        <x:v>45719.375</x:v>
      </x:c>
      <x:c r="K28" s="8" t="str">
        <x:f>IF(COUNTIF('Usuarios'!$A$2:$A$61,B28)=1,"OK","ERROR")</x:f>
        <x:v>OK</x:v>
      </x:c>
      <x:c r="L28" s="8" t="str">
        <x:f>IF(COUNTIF('Objetos'!$A$2:$A$181,C28)=1,"OK","ERROR")</x:f>
        <x:v>OK</x:v>
      </x:c>
      <x:c r="M28" s="8" t="str">
        <x:f>IF(COUNTIF('Centros'!$A$2:$A$13,D28)=1,"OK","ERROR")</x:f>
        <x:v>OK</x:v>
      </x:c>
      <x:c r="N28" s="8" t="str">
        <x:f>IF(AND(G28&gt;F28,G28-F28&lt;=INDEX('Objetos'!$J$2:$J$181,MATCH(C28,'Objetos'!$A$2:$A$181,0))),"OK","ERROR")</x:f>
        <x:v>OK</x:v>
      </x:c>
    </x:row>
    <x:row r="29">
      <x:c r="A29" s="8" t="str">
        <x:v>RSV-000028</x:v>
      </x:c>
      <x:c r="B29" s="8" t="str">
        <x:v>USR-0010</x:v>
      </x:c>
      <x:c r="C29" s="8" t="str">
        <x:v>ITM-000028</x:v>
      </x:c>
      <x:c r="D29" s="8" t="str">
        <x:v>HUB-MAD-004</x:v>
      </x:c>
      <x:c r="E29" s="10" t="n">
        <x:v>45713.375</x:v>
      </x:c>
      <x:c r="F29" s="10" t="n">
        <x:v>45717.375</x:v>
      </x:c>
      <x:c r="G29" s="10" t="n">
        <x:v>45719.375</x:v>
      </x:c>
      <x:c r="H29" s="8" t="str">
        <x:v>returned</x:v>
      </x:c>
      <x:c r="I29" s="8" t="str"/>
      <x:c r="J29" s="10" t="n">
        <x:v>45719.375</x:v>
      </x:c>
      <x:c r="K29" s="8" t="str">
        <x:f>IF(COUNTIF('Usuarios'!$A$2:$A$61,B29)=1,"OK","ERROR")</x:f>
        <x:v>OK</x:v>
      </x:c>
      <x:c r="L29" s="8" t="str">
        <x:f>IF(COUNTIF('Objetos'!$A$2:$A$181,C29)=1,"OK","ERROR")</x:f>
        <x:v>OK</x:v>
      </x:c>
      <x:c r="M29" s="8" t="str">
        <x:f>IF(COUNTIF('Centros'!$A$2:$A$13,D29)=1,"OK","ERROR")</x:f>
        <x:v>OK</x:v>
      </x:c>
      <x:c r="N29" s="8" t="str">
        <x:f>IF(AND(G29&gt;F29,G29-F29&lt;=INDEX('Objetos'!$J$2:$J$181,MATCH(C29,'Objetos'!$A$2:$A$181,0))),"OK","ERROR")</x:f>
        <x:v>OK</x:v>
      </x:c>
    </x:row>
    <x:row r="30">
      <x:c r="A30" s="8" t="str">
        <x:v>RSV-000029</x:v>
      </x:c>
      <x:c r="B30" s="8" t="str">
        <x:v>USR-0017</x:v>
      </x:c>
      <x:c r="C30" s="8" t="str">
        <x:v>ITM-000029</x:v>
      </x:c>
      <x:c r="D30" s="8" t="str">
        <x:v>HUB-MAD-005</x:v>
      </x:c>
      <x:c r="E30" s="10" t="n">
        <x:v>45715.375</x:v>
      </x:c>
      <x:c r="F30" s="10" t="n">
        <x:v>45719.375</x:v>
      </x:c>
      <x:c r="G30" s="10" t="n">
        <x:v>45722.375</x:v>
      </x:c>
      <x:c r="H30" s="8" t="str">
        <x:v>returned</x:v>
      </x:c>
      <x:c r="I30" s="8" t="str">
        <x:v>Recogida por la tarde, si es posible.</x:v>
      </x:c>
      <x:c r="J30" s="10" t="n">
        <x:v>45722.375</x:v>
      </x:c>
      <x:c r="K30" s="8" t="str">
        <x:f>IF(COUNTIF('Usuarios'!$A$2:$A$61,B30)=1,"OK","ERROR")</x:f>
        <x:v>OK</x:v>
      </x:c>
      <x:c r="L30" s="8" t="str">
        <x:f>IF(COUNTIF('Objetos'!$A$2:$A$181,C30)=1,"OK","ERROR")</x:f>
        <x:v>OK</x:v>
      </x:c>
      <x:c r="M30" s="8" t="str">
        <x:f>IF(COUNTIF('Centros'!$A$2:$A$13,D30)=1,"OK","ERROR")</x:f>
        <x:v>OK</x:v>
      </x:c>
      <x:c r="N30" s="8" t="str">
        <x:f>IF(AND(G30&gt;F30,G30-F30&lt;=INDEX('Objetos'!$J$2:$J$181,MATCH(C30,'Objetos'!$A$2:$A$181,0))),"OK","ERROR")</x:f>
        <x:v>OK</x:v>
      </x:c>
    </x:row>
    <x:row r="31">
      <x:c r="A31" s="8" t="str">
        <x:v>RSV-000030</x:v>
      </x:c>
      <x:c r="B31" s="8" t="str">
        <x:v>USR-0024</x:v>
      </x:c>
      <x:c r="C31" s="8" t="str">
        <x:v>ITM-000030</x:v>
      </x:c>
      <x:c r="D31" s="8" t="str">
        <x:v>HUB-MAD-006</x:v>
      </x:c>
      <x:c r="E31" s="10" t="n">
        <x:v>45717.375</x:v>
      </x:c>
      <x:c r="F31" s="10" t="n">
        <x:v>45721.375</x:v>
      </x:c>
      <x:c r="G31" s="10" t="n">
        <x:v>45725.375</x:v>
      </x:c>
      <x:c r="H31" s="8" t="str">
        <x:v>returned</x:v>
      </x:c>
      <x:c r="I31" s="8" t="str"/>
      <x:c r="J31" s="10" t="n">
        <x:v>45725.375</x:v>
      </x:c>
      <x:c r="K31" s="8" t="str">
        <x:f>IF(COUNTIF('Usuarios'!$A$2:$A$61,B31)=1,"OK","ERROR")</x:f>
        <x:v>OK</x:v>
      </x:c>
      <x:c r="L31" s="8" t="str">
        <x:f>IF(COUNTIF('Objetos'!$A$2:$A$181,C31)=1,"OK","ERROR")</x:f>
        <x:v>OK</x:v>
      </x:c>
      <x:c r="M31" s="8" t="str">
        <x:f>IF(COUNTIF('Centros'!$A$2:$A$13,D31)=1,"OK","ERROR")</x:f>
        <x:v>OK</x:v>
      </x:c>
      <x:c r="N31" s="8" t="str">
        <x:f>IF(AND(G31&gt;F31,G31-F31&lt;=INDEX('Objetos'!$J$2:$J$181,MATCH(C31,'Objetos'!$A$2:$A$181,0))),"OK","ERROR")</x:f>
        <x:v>OK</x:v>
      </x:c>
    </x:row>
    <x:row r="32">
      <x:c r="A32" s="8" t="str">
        <x:v>RSV-000031</x:v>
      </x:c>
      <x:c r="B32" s="8" t="str">
        <x:v>USR-0031</x:v>
      </x:c>
      <x:c r="C32" s="8" t="str">
        <x:v>ITM-000031</x:v>
      </x:c>
      <x:c r="D32" s="8" t="str">
        <x:v>HUB-MAD-007</x:v>
      </x:c>
      <x:c r="E32" s="10" t="n">
        <x:v>45719.375</x:v>
      </x:c>
      <x:c r="F32" s="10" t="n">
        <x:v>45723.375</x:v>
      </x:c>
      <x:c r="G32" s="10" t="n">
        <x:v>45725.375</x:v>
      </x:c>
      <x:c r="H32" s="8" t="str">
        <x:v>returned</x:v>
      </x:c>
      <x:c r="I32" s="8" t="str"/>
      <x:c r="J32" s="10" t="n">
        <x:v>45725.375</x:v>
      </x:c>
      <x:c r="K32" s="8" t="str">
        <x:f>IF(COUNTIF('Usuarios'!$A$2:$A$61,B32)=1,"OK","ERROR")</x:f>
        <x:v>OK</x:v>
      </x:c>
      <x:c r="L32" s="8" t="str">
        <x:f>IF(COUNTIF('Objetos'!$A$2:$A$181,C32)=1,"OK","ERROR")</x:f>
        <x:v>OK</x:v>
      </x:c>
      <x:c r="M32" s="8" t="str">
        <x:f>IF(COUNTIF('Centros'!$A$2:$A$13,D32)=1,"OK","ERROR")</x:f>
        <x:v>OK</x:v>
      </x:c>
      <x:c r="N32" s="8" t="str">
        <x:f>IF(AND(G32&gt;F32,G32-F32&lt;=INDEX('Objetos'!$J$2:$J$181,MATCH(C32,'Objetos'!$A$2:$A$181,0))),"OK","ERROR")</x:f>
        <x:v>OK</x:v>
      </x:c>
    </x:row>
    <x:row r="33">
      <x:c r="A33" s="8" t="str">
        <x:v>RSV-000032</x:v>
      </x:c>
      <x:c r="B33" s="8" t="str">
        <x:v>USR-0038</x:v>
      </x:c>
      <x:c r="C33" s="8" t="str">
        <x:v>ITM-000032</x:v>
      </x:c>
      <x:c r="D33" s="8" t="str">
        <x:v>HUB-MAD-008</x:v>
      </x:c>
      <x:c r="E33" s="10" t="n">
        <x:v>45721.375</x:v>
      </x:c>
      <x:c r="F33" s="10" t="n">
        <x:v>45725.375</x:v>
      </x:c>
      <x:c r="G33" s="10" t="n">
        <x:v>45728.375</x:v>
      </x:c>
      <x:c r="H33" s="8" t="str">
        <x:v>returned</x:v>
      </x:c>
      <x:c r="I33" s="8" t="str"/>
      <x:c r="J33" s="10" t="n">
        <x:v>45728.375</x:v>
      </x:c>
      <x:c r="K33" s="8" t="str">
        <x:f>IF(COUNTIF('Usuarios'!$A$2:$A$61,B33)=1,"OK","ERROR")</x:f>
        <x:v>OK</x:v>
      </x:c>
      <x:c r="L33" s="8" t="str">
        <x:f>IF(COUNTIF('Objetos'!$A$2:$A$181,C33)=1,"OK","ERROR")</x:f>
        <x:v>OK</x:v>
      </x:c>
      <x:c r="M33" s="8" t="str">
        <x:f>IF(COUNTIF('Centros'!$A$2:$A$13,D33)=1,"OK","ERROR")</x:f>
        <x:v>OK</x:v>
      </x:c>
      <x:c r="N33" s="8" t="str">
        <x:f>IF(AND(G33&gt;F33,G33-F33&lt;=INDEX('Objetos'!$J$2:$J$181,MATCH(C33,'Objetos'!$A$2:$A$181,0))),"OK","ERROR")</x:f>
        <x:v>OK</x:v>
      </x:c>
    </x:row>
    <x:row r="34">
      <x:c r="A34" s="8" t="str">
        <x:v>RSV-000033</x:v>
      </x:c>
      <x:c r="B34" s="8" t="str">
        <x:v>USR-0045</x:v>
      </x:c>
      <x:c r="C34" s="8" t="str">
        <x:v>ITM-000033</x:v>
      </x:c>
      <x:c r="D34" s="8" t="str">
        <x:v>HUB-MAD-009</x:v>
      </x:c>
      <x:c r="E34" s="10" t="n">
        <x:v>45723.375</x:v>
      </x:c>
      <x:c r="F34" s="10" t="n">
        <x:v>45727.375</x:v>
      </x:c>
      <x:c r="G34" s="10" t="n">
        <x:v>45731.375</x:v>
      </x:c>
      <x:c r="H34" s="8" t="str">
        <x:v>returned</x:v>
      </x:c>
      <x:c r="I34" s="8" t="str">
        <x:v>Recogida por la tarde, si es posible.</x:v>
      </x:c>
      <x:c r="J34" s="10" t="n">
        <x:v>45731.375</x:v>
      </x:c>
      <x:c r="K34" s="8" t="str">
        <x:f>IF(COUNTIF('Usuarios'!$A$2:$A$61,B34)=1,"OK","ERROR")</x:f>
        <x:v>OK</x:v>
      </x:c>
      <x:c r="L34" s="8" t="str">
        <x:f>IF(COUNTIF('Objetos'!$A$2:$A$181,C34)=1,"OK","ERROR")</x:f>
        <x:v>OK</x:v>
      </x:c>
      <x:c r="M34" s="8" t="str">
        <x:f>IF(COUNTIF('Centros'!$A$2:$A$13,D34)=1,"OK","ERROR")</x:f>
        <x:v>OK</x:v>
      </x:c>
      <x:c r="N34" s="8" t="str">
        <x:f>IF(AND(G34&gt;F34,G34-F34&lt;=INDEX('Objetos'!$J$2:$J$181,MATCH(C34,'Objetos'!$A$2:$A$181,0))),"OK","ERROR")</x:f>
        <x:v>OK</x:v>
      </x:c>
    </x:row>
    <x:row r="35">
      <x:c r="A35" s="8" t="str">
        <x:v>RSV-000034</x:v>
      </x:c>
      <x:c r="B35" s="8" t="str">
        <x:v>USR-0052</x:v>
      </x:c>
      <x:c r="C35" s="8" t="str">
        <x:v>ITM-000034</x:v>
      </x:c>
      <x:c r="D35" s="8" t="str">
        <x:v>HUB-MAD-010</x:v>
      </x:c>
      <x:c r="E35" s="10" t="n">
        <x:v>45725.375</x:v>
      </x:c>
      <x:c r="F35" s="10" t="n">
        <x:v>45729.375</x:v>
      </x:c>
      <x:c r="G35" s="10" t="n">
        <x:v>45731.375</x:v>
      </x:c>
      <x:c r="H35" s="8" t="str">
        <x:v>returned</x:v>
      </x:c>
      <x:c r="I35" s="8" t="str"/>
      <x:c r="J35" s="10" t="n">
        <x:v>45731.375</x:v>
      </x:c>
      <x:c r="K35" s="8" t="str">
        <x:f>IF(COUNTIF('Usuarios'!$A$2:$A$61,B35)=1,"OK","ERROR")</x:f>
        <x:v>OK</x:v>
      </x:c>
      <x:c r="L35" s="8" t="str">
        <x:f>IF(COUNTIF('Objetos'!$A$2:$A$181,C35)=1,"OK","ERROR")</x:f>
        <x:v>OK</x:v>
      </x:c>
      <x:c r="M35" s="8" t="str">
        <x:f>IF(COUNTIF('Centros'!$A$2:$A$13,D35)=1,"OK","ERROR")</x:f>
        <x:v>OK</x:v>
      </x:c>
      <x:c r="N35" s="8" t="str">
        <x:f>IF(AND(G35&gt;F35,G35-F35&lt;=INDEX('Objetos'!$J$2:$J$181,MATCH(C35,'Objetos'!$A$2:$A$181,0))),"OK","ERROR")</x:f>
        <x:v>OK</x:v>
      </x:c>
    </x:row>
    <x:row r="36">
      <x:c r="A36" s="8" t="str">
        <x:v>RSV-000035</x:v>
      </x:c>
      <x:c r="B36" s="8" t="str">
        <x:v>USR-0059</x:v>
      </x:c>
      <x:c r="C36" s="8" t="str">
        <x:v>ITM-000035</x:v>
      </x:c>
      <x:c r="D36" s="8" t="str">
        <x:v>HUB-MAD-011</x:v>
      </x:c>
      <x:c r="E36" s="10" t="n">
        <x:v>45727.375</x:v>
      </x:c>
      <x:c r="F36" s="10" t="n">
        <x:v>45731.375</x:v>
      </x:c>
      <x:c r="G36" s="10" t="n">
        <x:v>45734.375</x:v>
      </x:c>
      <x:c r="H36" s="8" t="str">
        <x:v>returned</x:v>
      </x:c>
      <x:c r="I36" s="8" t="str"/>
      <x:c r="J36" s="10" t="n">
        <x:v>45734.375</x:v>
      </x:c>
      <x:c r="K36" s="8" t="str">
        <x:f>IF(COUNTIF('Usuarios'!$A$2:$A$61,B36)=1,"OK","ERROR")</x:f>
        <x:v>OK</x:v>
      </x:c>
      <x:c r="L36" s="8" t="str">
        <x:f>IF(COUNTIF('Objetos'!$A$2:$A$181,C36)=1,"OK","ERROR")</x:f>
        <x:v>OK</x:v>
      </x:c>
      <x:c r="M36" s="8" t="str">
        <x:f>IF(COUNTIF('Centros'!$A$2:$A$13,D36)=1,"OK","ERROR")</x:f>
        <x:v>OK</x:v>
      </x:c>
      <x:c r="N36" s="8" t="str">
        <x:f>IF(AND(G36&gt;F36,G36-F36&lt;=INDEX('Objetos'!$J$2:$J$181,MATCH(C36,'Objetos'!$A$2:$A$181,0))),"OK","ERROR")</x:f>
        <x:v>OK</x:v>
      </x:c>
    </x:row>
    <x:row r="37">
      <x:c r="A37" s="8" t="str">
        <x:v>RSV-000036</x:v>
      </x:c>
      <x:c r="B37" s="8" t="str">
        <x:v>USR-0006</x:v>
      </x:c>
      <x:c r="C37" s="8" t="str">
        <x:v>ITM-000036</x:v>
      </x:c>
      <x:c r="D37" s="8" t="str">
        <x:v>HUB-MAD-012</x:v>
      </x:c>
      <x:c r="E37" s="10" t="n">
        <x:v>45729.375</x:v>
      </x:c>
      <x:c r="F37" s="10" t="n">
        <x:v>45733.375</x:v>
      </x:c>
      <x:c r="G37" s="10" t="n">
        <x:v>45736.375</x:v>
      </x:c>
      <x:c r="H37" s="8" t="str">
        <x:v>returned</x:v>
      </x:c>
      <x:c r="I37" s="8" t="str"/>
      <x:c r="J37" s="10" t="n">
        <x:v>45736.375</x:v>
      </x:c>
      <x:c r="K37" s="8" t="str">
        <x:f>IF(COUNTIF('Usuarios'!$A$2:$A$61,B37)=1,"OK","ERROR")</x:f>
        <x:v>OK</x:v>
      </x:c>
      <x:c r="L37" s="8" t="str">
        <x:f>IF(COUNTIF('Objetos'!$A$2:$A$181,C37)=1,"OK","ERROR")</x:f>
        <x:v>OK</x:v>
      </x:c>
      <x:c r="M37" s="8" t="str">
        <x:f>IF(COUNTIF('Centros'!$A$2:$A$13,D37)=1,"OK","ERROR")</x:f>
        <x:v>OK</x:v>
      </x:c>
      <x:c r="N37" s="8" t="str">
        <x:f>IF(AND(G37&gt;F37,G37-F37&lt;=INDEX('Objetos'!$J$2:$J$181,MATCH(C37,'Objetos'!$A$2:$A$181,0))),"OK","ERROR")</x:f>
        <x:v>OK</x:v>
      </x:c>
    </x:row>
    <x:row r="38">
      <x:c r="A38" s="8" t="str">
        <x:v>RSV-000037</x:v>
      </x:c>
      <x:c r="B38" s="8" t="str">
        <x:v>USR-0013</x:v>
      </x:c>
      <x:c r="C38" s="8" t="str">
        <x:v>ITM-000037</x:v>
      </x:c>
      <x:c r="D38" s="8" t="str">
        <x:v>HUB-MAD-001</x:v>
      </x:c>
      <x:c r="E38" s="10" t="n">
        <x:v>45731.375</x:v>
      </x:c>
      <x:c r="F38" s="10" t="n">
        <x:v>45735.375</x:v>
      </x:c>
      <x:c r="G38" s="10" t="n">
        <x:v>45737.375</x:v>
      </x:c>
      <x:c r="H38" s="8" t="str">
        <x:v>returned</x:v>
      </x:c>
      <x:c r="I38" s="8" t="str">
        <x:v>Recogida por la tarde, si es posible.</x:v>
      </x:c>
      <x:c r="J38" s="10" t="n">
        <x:v>45737.375</x:v>
      </x:c>
      <x:c r="K38" s="8" t="str">
        <x:f>IF(COUNTIF('Usuarios'!$A$2:$A$61,B38)=1,"OK","ERROR")</x:f>
        <x:v>OK</x:v>
      </x:c>
      <x:c r="L38" s="8" t="str">
        <x:f>IF(COUNTIF('Objetos'!$A$2:$A$181,C38)=1,"OK","ERROR")</x:f>
        <x:v>OK</x:v>
      </x:c>
      <x:c r="M38" s="8" t="str">
        <x:f>IF(COUNTIF('Centros'!$A$2:$A$13,D38)=1,"OK","ERROR")</x:f>
        <x:v>OK</x:v>
      </x:c>
      <x:c r="N38" s="8" t="str">
        <x:f>IF(AND(G38&gt;F38,G38-F38&lt;=INDEX('Objetos'!$J$2:$J$181,MATCH(C38,'Objetos'!$A$2:$A$181,0))),"OK","ERROR")</x:f>
        <x:v>OK</x:v>
      </x:c>
    </x:row>
    <x:row r="39">
      <x:c r="A39" s="8" t="str">
        <x:v>RSV-000038</x:v>
      </x:c>
      <x:c r="B39" s="8" t="str">
        <x:v>USR-0020</x:v>
      </x:c>
      <x:c r="C39" s="8" t="str">
        <x:v>ITM-000038</x:v>
      </x:c>
      <x:c r="D39" s="8" t="str">
        <x:v>HUB-MAD-002</x:v>
      </x:c>
      <x:c r="E39" s="10" t="n">
        <x:v>45733.375</x:v>
      </x:c>
      <x:c r="F39" s="10" t="n">
        <x:v>45737.375</x:v>
      </x:c>
      <x:c r="G39" s="10" t="n">
        <x:v>45740.375</x:v>
      </x:c>
      <x:c r="H39" s="8" t="str">
        <x:v>returned</x:v>
      </x:c>
      <x:c r="I39" s="8" t="str"/>
      <x:c r="J39" s="10" t="n">
        <x:v>45740.375</x:v>
      </x:c>
      <x:c r="K39" s="8" t="str">
        <x:f>IF(COUNTIF('Usuarios'!$A$2:$A$61,B39)=1,"OK","ERROR")</x:f>
        <x:v>OK</x:v>
      </x:c>
      <x:c r="L39" s="8" t="str">
        <x:f>IF(COUNTIF('Objetos'!$A$2:$A$181,C39)=1,"OK","ERROR")</x:f>
        <x:v>OK</x:v>
      </x:c>
      <x:c r="M39" s="8" t="str">
        <x:f>IF(COUNTIF('Centros'!$A$2:$A$13,D39)=1,"OK","ERROR")</x:f>
        <x:v>OK</x:v>
      </x:c>
      <x:c r="N39" s="8" t="str">
        <x:f>IF(AND(G39&gt;F39,G39-F39&lt;=INDEX('Objetos'!$J$2:$J$181,MATCH(C39,'Objetos'!$A$2:$A$181,0))),"OK","ERROR")</x:f>
        <x:v>OK</x:v>
      </x:c>
    </x:row>
    <x:row r="40">
      <x:c r="A40" s="8" t="str">
        <x:v>RSV-000039</x:v>
      </x:c>
      <x:c r="B40" s="8" t="str">
        <x:v>USR-0027</x:v>
      </x:c>
      <x:c r="C40" s="8" t="str">
        <x:v>ITM-000039</x:v>
      </x:c>
      <x:c r="D40" s="8" t="str">
        <x:v>HUB-MAD-003</x:v>
      </x:c>
      <x:c r="E40" s="10" t="n">
        <x:v>45735.375</x:v>
      </x:c>
      <x:c r="F40" s="10" t="n">
        <x:v>45739.375</x:v>
      </x:c>
      <x:c r="G40" s="10" t="n">
        <x:v>45743.375</x:v>
      </x:c>
      <x:c r="H40" s="8" t="str">
        <x:v>returned</x:v>
      </x:c>
      <x:c r="I40" s="8" t="str"/>
      <x:c r="J40" s="10" t="n">
        <x:v>45743.375</x:v>
      </x:c>
      <x:c r="K40" s="8" t="str">
        <x:f>IF(COUNTIF('Usuarios'!$A$2:$A$61,B40)=1,"OK","ERROR")</x:f>
        <x:v>OK</x:v>
      </x:c>
      <x:c r="L40" s="8" t="str">
        <x:f>IF(COUNTIF('Objetos'!$A$2:$A$181,C40)=1,"OK","ERROR")</x:f>
        <x:v>OK</x:v>
      </x:c>
      <x:c r="M40" s="8" t="str">
        <x:f>IF(COUNTIF('Centros'!$A$2:$A$13,D40)=1,"OK","ERROR")</x:f>
        <x:v>OK</x:v>
      </x:c>
      <x:c r="N40" s="8" t="str">
        <x:f>IF(AND(G40&gt;F40,G40-F40&lt;=INDEX('Objetos'!$J$2:$J$181,MATCH(C40,'Objetos'!$A$2:$A$181,0))),"OK","ERROR")</x:f>
        <x:v>OK</x:v>
      </x:c>
    </x:row>
    <x:row r="41">
      <x:c r="A41" s="8" t="str">
        <x:v>RSV-000040</x:v>
      </x:c>
      <x:c r="B41" s="8" t="str">
        <x:v>USR-0034</x:v>
      </x:c>
      <x:c r="C41" s="8" t="str">
        <x:v>ITM-000040</x:v>
      </x:c>
      <x:c r="D41" s="8" t="str">
        <x:v>HUB-MAD-004</x:v>
      </x:c>
      <x:c r="E41" s="10" t="n">
        <x:v>45737.375</x:v>
      </x:c>
      <x:c r="F41" s="10" t="n">
        <x:v>45741.375</x:v>
      </x:c>
      <x:c r="G41" s="10" t="n">
        <x:v>45743.375</x:v>
      </x:c>
      <x:c r="H41" s="8" t="str">
        <x:v>returned</x:v>
      </x:c>
      <x:c r="I41" s="8" t="str"/>
      <x:c r="J41" s="10" t="n">
        <x:v>45743.375</x:v>
      </x:c>
      <x:c r="K41" s="8" t="str">
        <x:f>IF(COUNTIF('Usuarios'!$A$2:$A$61,B41)=1,"OK","ERROR")</x:f>
        <x:v>OK</x:v>
      </x:c>
      <x:c r="L41" s="8" t="str">
        <x:f>IF(COUNTIF('Objetos'!$A$2:$A$181,C41)=1,"OK","ERROR")</x:f>
        <x:v>OK</x:v>
      </x:c>
      <x:c r="M41" s="8" t="str">
        <x:f>IF(COUNTIF('Centros'!$A$2:$A$13,D41)=1,"OK","ERROR")</x:f>
        <x:v>OK</x:v>
      </x:c>
      <x:c r="N41" s="8" t="str">
        <x:f>IF(AND(G41&gt;F41,G41-F41&lt;=INDEX('Objetos'!$J$2:$J$181,MATCH(C41,'Objetos'!$A$2:$A$181,0))),"OK","ERROR")</x:f>
        <x:v>OK</x:v>
      </x:c>
    </x:row>
    <x:row r="42">
      <x:c r="A42" s="8" t="str">
        <x:v>RSV-000041</x:v>
      </x:c>
      <x:c r="B42" s="8" t="str">
        <x:v>USR-0041</x:v>
      </x:c>
      <x:c r="C42" s="8" t="str">
        <x:v>ITM-000041</x:v>
      </x:c>
      <x:c r="D42" s="8" t="str">
        <x:v>HUB-MAD-005</x:v>
      </x:c>
      <x:c r="E42" s="10" t="n">
        <x:v>45739.375</x:v>
      </x:c>
      <x:c r="F42" s="10" t="n">
        <x:v>45743.375</x:v>
      </x:c>
      <x:c r="G42" s="10" t="n">
        <x:v>45746.375</x:v>
      </x:c>
      <x:c r="H42" s="8" t="str">
        <x:v>returned</x:v>
      </x:c>
      <x:c r="I42" s="8" t="str">
        <x:v>Recogida por la tarde, si es posible.</x:v>
      </x:c>
      <x:c r="J42" s="10" t="n">
        <x:v>45746.375</x:v>
      </x:c>
      <x:c r="K42" s="8" t="str">
        <x:f>IF(COUNTIF('Usuarios'!$A$2:$A$61,B42)=1,"OK","ERROR")</x:f>
        <x:v>OK</x:v>
      </x:c>
      <x:c r="L42" s="8" t="str">
        <x:f>IF(COUNTIF('Objetos'!$A$2:$A$181,C42)=1,"OK","ERROR")</x:f>
        <x:v>OK</x:v>
      </x:c>
      <x:c r="M42" s="8" t="str">
        <x:f>IF(COUNTIF('Centros'!$A$2:$A$13,D42)=1,"OK","ERROR")</x:f>
        <x:v>OK</x:v>
      </x:c>
      <x:c r="N42" s="8" t="str">
        <x:f>IF(AND(G42&gt;F42,G42-F42&lt;=INDEX('Objetos'!$J$2:$J$181,MATCH(C42,'Objetos'!$A$2:$A$181,0))),"OK","ERROR")</x:f>
        <x:v>OK</x:v>
      </x:c>
    </x:row>
    <x:row r="43">
      <x:c r="A43" s="8" t="str">
        <x:v>RSV-000042</x:v>
      </x:c>
      <x:c r="B43" s="8" t="str">
        <x:v>USR-0048</x:v>
      </x:c>
      <x:c r="C43" s="8" t="str">
        <x:v>ITM-000042</x:v>
      </x:c>
      <x:c r="D43" s="8" t="str">
        <x:v>HUB-MAD-006</x:v>
      </x:c>
      <x:c r="E43" s="10" t="n">
        <x:v>45741.375</x:v>
      </x:c>
      <x:c r="F43" s="10" t="n">
        <x:v>45745.375</x:v>
      </x:c>
      <x:c r="G43" s="10" t="n">
        <x:v>45749.375</x:v>
      </x:c>
      <x:c r="H43" s="8" t="str">
        <x:v>returned</x:v>
      </x:c>
      <x:c r="I43" s="8" t="str"/>
      <x:c r="J43" s="10" t="n">
        <x:v>45749.375</x:v>
      </x:c>
      <x:c r="K43" s="8" t="str">
        <x:f>IF(COUNTIF('Usuarios'!$A$2:$A$61,B43)=1,"OK","ERROR")</x:f>
        <x:v>OK</x:v>
      </x:c>
      <x:c r="L43" s="8" t="str">
        <x:f>IF(COUNTIF('Objetos'!$A$2:$A$181,C43)=1,"OK","ERROR")</x:f>
        <x:v>OK</x:v>
      </x:c>
      <x:c r="M43" s="8" t="str">
        <x:f>IF(COUNTIF('Centros'!$A$2:$A$13,D43)=1,"OK","ERROR")</x:f>
        <x:v>OK</x:v>
      </x:c>
      <x:c r="N43" s="8" t="str">
        <x:f>IF(AND(G43&gt;F43,G43-F43&lt;=INDEX('Objetos'!$J$2:$J$181,MATCH(C43,'Objetos'!$A$2:$A$181,0))),"OK","ERROR")</x:f>
        <x:v>OK</x:v>
      </x:c>
    </x:row>
    <x:row r="44">
      <x:c r="A44" s="8" t="str">
        <x:v>RSV-000043</x:v>
      </x:c>
      <x:c r="B44" s="8" t="str">
        <x:v>USR-0055</x:v>
      </x:c>
      <x:c r="C44" s="8" t="str">
        <x:v>ITM-000043</x:v>
      </x:c>
      <x:c r="D44" s="8" t="str">
        <x:v>HUB-MAD-007</x:v>
      </x:c>
      <x:c r="E44" s="10" t="n">
        <x:v>45743.375</x:v>
      </x:c>
      <x:c r="F44" s="10" t="n">
        <x:v>45747.375</x:v>
      </x:c>
      <x:c r="G44" s="10" t="n">
        <x:v>45749.375</x:v>
      </x:c>
      <x:c r="H44" s="8" t="str">
        <x:v>returned</x:v>
      </x:c>
      <x:c r="I44" s="8" t="str"/>
      <x:c r="J44" s="10" t="n">
        <x:v>45749.375</x:v>
      </x:c>
      <x:c r="K44" s="8" t="str">
        <x:f>IF(COUNTIF('Usuarios'!$A$2:$A$61,B44)=1,"OK","ERROR")</x:f>
        <x:v>OK</x:v>
      </x:c>
      <x:c r="L44" s="8" t="str">
        <x:f>IF(COUNTIF('Objetos'!$A$2:$A$181,C44)=1,"OK","ERROR")</x:f>
        <x:v>OK</x:v>
      </x:c>
      <x:c r="M44" s="8" t="str">
        <x:f>IF(COUNTIF('Centros'!$A$2:$A$13,D44)=1,"OK","ERROR")</x:f>
        <x:v>OK</x:v>
      </x:c>
      <x:c r="N44" s="8" t="str">
        <x:f>IF(AND(G44&gt;F44,G44-F44&lt;=INDEX('Objetos'!$J$2:$J$181,MATCH(C44,'Objetos'!$A$2:$A$181,0))),"OK","ERROR")</x:f>
        <x:v>OK</x:v>
      </x:c>
    </x:row>
    <x:row r="45">
      <x:c r="A45" s="8" t="str">
        <x:v>RSV-000044</x:v>
      </x:c>
      <x:c r="B45" s="8" t="str">
        <x:v>USR-0002</x:v>
      </x:c>
      <x:c r="C45" s="8" t="str">
        <x:v>ITM-000044</x:v>
      </x:c>
      <x:c r="D45" s="8" t="str">
        <x:v>HUB-MAD-008</x:v>
      </x:c>
      <x:c r="E45" s="10" t="n">
        <x:v>45745.375</x:v>
      </x:c>
      <x:c r="F45" s="10" t="n">
        <x:v>45749.375</x:v>
      </x:c>
      <x:c r="G45" s="10" t="n">
        <x:v>45752.375</x:v>
      </x:c>
      <x:c r="H45" s="8" t="str">
        <x:v>returned</x:v>
      </x:c>
      <x:c r="I45" s="8" t="str"/>
      <x:c r="J45" s="10" t="n">
        <x:v>45752.375</x:v>
      </x:c>
      <x:c r="K45" s="8" t="str">
        <x:f>IF(COUNTIF('Usuarios'!$A$2:$A$61,B45)=1,"OK","ERROR")</x:f>
        <x:v>OK</x:v>
      </x:c>
      <x:c r="L45" s="8" t="str">
        <x:f>IF(COUNTIF('Objetos'!$A$2:$A$181,C45)=1,"OK","ERROR")</x:f>
        <x:v>OK</x:v>
      </x:c>
      <x:c r="M45" s="8" t="str">
        <x:f>IF(COUNTIF('Centros'!$A$2:$A$13,D45)=1,"OK","ERROR")</x:f>
        <x:v>OK</x:v>
      </x:c>
      <x:c r="N45" s="8" t="str">
        <x:f>IF(AND(G45&gt;F45,G45-F45&lt;=INDEX('Objetos'!$J$2:$J$181,MATCH(C45,'Objetos'!$A$2:$A$181,0))),"OK","ERROR")</x:f>
        <x:v>OK</x:v>
      </x:c>
    </x:row>
    <x:row r="46">
      <x:c r="A46" s="8" t="str">
        <x:v>RSV-000045</x:v>
      </x:c>
      <x:c r="B46" s="8" t="str">
        <x:v>USR-0009</x:v>
      </x:c>
      <x:c r="C46" s="8" t="str">
        <x:v>ITM-000045</x:v>
      </x:c>
      <x:c r="D46" s="8" t="str">
        <x:v>HUB-MAD-009</x:v>
      </x:c>
      <x:c r="E46" s="10" t="n">
        <x:v>45747.375</x:v>
      </x:c>
      <x:c r="F46" s="10" t="n">
        <x:v>45751.375</x:v>
      </x:c>
      <x:c r="G46" s="10" t="n">
        <x:v>45755.375</x:v>
      </x:c>
      <x:c r="H46" s="8" t="str">
        <x:v>returned</x:v>
      </x:c>
      <x:c r="I46" s="8" t="str">
        <x:v>Recogida por la tarde, si es posible.</x:v>
      </x:c>
      <x:c r="J46" s="10" t="n">
        <x:v>45755.375</x:v>
      </x:c>
      <x:c r="K46" s="8" t="str">
        <x:f>IF(COUNTIF('Usuarios'!$A$2:$A$61,B46)=1,"OK","ERROR")</x:f>
        <x:v>OK</x:v>
      </x:c>
      <x:c r="L46" s="8" t="str">
        <x:f>IF(COUNTIF('Objetos'!$A$2:$A$181,C46)=1,"OK","ERROR")</x:f>
        <x:v>OK</x:v>
      </x:c>
      <x:c r="M46" s="8" t="str">
        <x:f>IF(COUNTIF('Centros'!$A$2:$A$13,D46)=1,"OK","ERROR")</x:f>
        <x:v>OK</x:v>
      </x:c>
      <x:c r="N46" s="8" t="str">
        <x:f>IF(AND(G46&gt;F46,G46-F46&lt;=INDEX('Objetos'!$J$2:$J$181,MATCH(C46,'Objetos'!$A$2:$A$181,0))),"OK","ERROR")</x:f>
        <x:v>OK</x:v>
      </x:c>
    </x:row>
    <x:row r="47">
      <x:c r="A47" s="8" t="str">
        <x:v>RSV-000046</x:v>
      </x:c>
      <x:c r="B47" s="8" t="str">
        <x:v>USR-0016</x:v>
      </x:c>
      <x:c r="C47" s="8" t="str">
        <x:v>ITM-000046</x:v>
      </x:c>
      <x:c r="D47" s="8" t="str">
        <x:v>HUB-MAD-010</x:v>
      </x:c>
      <x:c r="E47" s="10" t="n">
        <x:v>45749.375</x:v>
      </x:c>
      <x:c r="F47" s="10" t="n">
        <x:v>45753.375</x:v>
      </x:c>
      <x:c r="G47" s="10" t="n">
        <x:v>45755.375</x:v>
      </x:c>
      <x:c r="H47" s="8" t="str">
        <x:v>returned</x:v>
      </x:c>
      <x:c r="I47" s="8" t="str"/>
      <x:c r="J47" s="10" t="n">
        <x:v>45755.375</x:v>
      </x:c>
      <x:c r="K47" s="8" t="str">
        <x:f>IF(COUNTIF('Usuarios'!$A$2:$A$61,B47)=1,"OK","ERROR")</x:f>
        <x:v>OK</x:v>
      </x:c>
      <x:c r="L47" s="8" t="str">
        <x:f>IF(COUNTIF('Objetos'!$A$2:$A$181,C47)=1,"OK","ERROR")</x:f>
        <x:v>OK</x:v>
      </x:c>
      <x:c r="M47" s="8" t="str">
        <x:f>IF(COUNTIF('Centros'!$A$2:$A$13,D47)=1,"OK","ERROR")</x:f>
        <x:v>OK</x:v>
      </x:c>
      <x:c r="N47" s="8" t="str">
        <x:f>IF(AND(G47&gt;F47,G47-F47&lt;=INDEX('Objetos'!$J$2:$J$181,MATCH(C47,'Objetos'!$A$2:$A$181,0))),"OK","ERROR")</x:f>
        <x:v>OK</x:v>
      </x:c>
    </x:row>
    <x:row r="48">
      <x:c r="A48" s="8" t="str">
        <x:v>RSV-000047</x:v>
      </x:c>
      <x:c r="B48" s="8" t="str">
        <x:v>USR-0023</x:v>
      </x:c>
      <x:c r="C48" s="8" t="str">
        <x:v>ITM-000047</x:v>
      </x:c>
      <x:c r="D48" s="8" t="str">
        <x:v>HUB-MAD-011</x:v>
      </x:c>
      <x:c r="E48" s="10" t="n">
        <x:v>45751.375</x:v>
      </x:c>
      <x:c r="F48" s="10" t="n">
        <x:v>45755.375</x:v>
      </x:c>
      <x:c r="G48" s="10" t="n">
        <x:v>45758.375</x:v>
      </x:c>
      <x:c r="H48" s="8" t="str">
        <x:v>returned</x:v>
      </x:c>
      <x:c r="I48" s="8" t="str"/>
      <x:c r="J48" s="10" t="n">
        <x:v>45758.375</x:v>
      </x:c>
      <x:c r="K48" s="8" t="str">
        <x:f>IF(COUNTIF('Usuarios'!$A$2:$A$61,B48)=1,"OK","ERROR")</x:f>
        <x:v>OK</x:v>
      </x:c>
      <x:c r="L48" s="8" t="str">
        <x:f>IF(COUNTIF('Objetos'!$A$2:$A$181,C48)=1,"OK","ERROR")</x:f>
        <x:v>OK</x:v>
      </x:c>
      <x:c r="M48" s="8" t="str">
        <x:f>IF(COUNTIF('Centros'!$A$2:$A$13,D48)=1,"OK","ERROR")</x:f>
        <x:v>OK</x:v>
      </x:c>
      <x:c r="N48" s="8" t="str">
        <x:f>IF(AND(G48&gt;F48,G48-F48&lt;=INDEX('Objetos'!$J$2:$J$181,MATCH(C48,'Objetos'!$A$2:$A$181,0))),"OK","ERROR")</x:f>
        <x:v>OK</x:v>
      </x:c>
    </x:row>
    <x:row r="49">
      <x:c r="A49" s="8" t="str">
        <x:v>RSV-000048</x:v>
      </x:c>
      <x:c r="B49" s="8" t="str">
        <x:v>USR-0030</x:v>
      </x:c>
      <x:c r="C49" s="8" t="str">
        <x:v>ITM-000048</x:v>
      </x:c>
      <x:c r="D49" s="8" t="str">
        <x:v>HUB-MAD-012</x:v>
      </x:c>
      <x:c r="E49" s="10" t="n">
        <x:v>45753.375</x:v>
      </x:c>
      <x:c r="F49" s="10" t="n">
        <x:v>45757.375</x:v>
      </x:c>
      <x:c r="G49" s="10" t="n">
        <x:v>45761.375</x:v>
      </x:c>
      <x:c r="H49" s="8" t="str">
        <x:v>returned</x:v>
      </x:c>
      <x:c r="I49" s="8" t="str"/>
      <x:c r="J49" s="10" t="n">
        <x:v>45761.375</x:v>
      </x:c>
      <x:c r="K49" s="8" t="str">
        <x:f>IF(COUNTIF('Usuarios'!$A$2:$A$61,B49)=1,"OK","ERROR")</x:f>
        <x:v>OK</x:v>
      </x:c>
      <x:c r="L49" s="8" t="str">
        <x:f>IF(COUNTIF('Objetos'!$A$2:$A$181,C49)=1,"OK","ERROR")</x:f>
        <x:v>OK</x:v>
      </x:c>
      <x:c r="M49" s="8" t="str">
        <x:f>IF(COUNTIF('Centros'!$A$2:$A$13,D49)=1,"OK","ERROR")</x:f>
        <x:v>OK</x:v>
      </x:c>
      <x:c r="N49" s="8" t="str">
        <x:f>IF(AND(G49&gt;F49,G49-F49&lt;=INDEX('Objetos'!$J$2:$J$181,MATCH(C49,'Objetos'!$A$2:$A$181,0))),"OK","ERROR")</x:f>
        <x:v>OK</x:v>
      </x:c>
    </x:row>
    <x:row r="50">
      <x:c r="A50" s="8" t="str">
        <x:v>RSV-000049</x:v>
      </x:c>
      <x:c r="B50" s="8" t="str">
        <x:v>USR-0037</x:v>
      </x:c>
      <x:c r="C50" s="8" t="str">
        <x:v>ITM-000049</x:v>
      </x:c>
      <x:c r="D50" s="8" t="str">
        <x:v>HUB-MAD-001</x:v>
      </x:c>
      <x:c r="E50" s="10" t="n">
        <x:v>45755.375</x:v>
      </x:c>
      <x:c r="F50" s="10" t="n">
        <x:v>45759.375</x:v>
      </x:c>
      <x:c r="G50" s="10" t="n">
        <x:v>45761.375</x:v>
      </x:c>
      <x:c r="H50" s="8" t="str">
        <x:v>returned</x:v>
      </x:c>
      <x:c r="I50" s="8" t="str">
        <x:v>Recogida por la tarde, si es posible.</x:v>
      </x:c>
      <x:c r="J50" s="10" t="n">
        <x:v>45761.375</x:v>
      </x:c>
      <x:c r="K50" s="8" t="str">
        <x:f>IF(COUNTIF('Usuarios'!$A$2:$A$61,B50)=1,"OK","ERROR")</x:f>
        <x:v>OK</x:v>
      </x:c>
      <x:c r="L50" s="8" t="str">
        <x:f>IF(COUNTIF('Objetos'!$A$2:$A$181,C50)=1,"OK","ERROR")</x:f>
        <x:v>OK</x:v>
      </x:c>
      <x:c r="M50" s="8" t="str">
        <x:f>IF(COUNTIF('Centros'!$A$2:$A$13,D50)=1,"OK","ERROR")</x:f>
        <x:v>OK</x:v>
      </x:c>
      <x:c r="N50" s="8" t="str">
        <x:f>IF(AND(G50&gt;F50,G50-F50&lt;=INDEX('Objetos'!$J$2:$J$181,MATCH(C50,'Objetos'!$A$2:$A$181,0))),"OK","ERROR")</x:f>
        <x:v>OK</x:v>
      </x:c>
    </x:row>
    <x:row r="51">
      <x:c r="A51" s="8" t="str">
        <x:v>RSV-000050</x:v>
      </x:c>
      <x:c r="B51" s="8" t="str">
        <x:v>USR-0044</x:v>
      </x:c>
      <x:c r="C51" s="8" t="str">
        <x:v>ITM-000050</x:v>
      </x:c>
      <x:c r="D51" s="8" t="str">
        <x:v>HUB-MAD-002</x:v>
      </x:c>
      <x:c r="E51" s="10" t="n">
        <x:v>45757.375</x:v>
      </x:c>
      <x:c r="F51" s="10" t="n">
        <x:v>45761.375</x:v>
      </x:c>
      <x:c r="G51" s="10" t="n">
        <x:v>45764.375</x:v>
      </x:c>
      <x:c r="H51" s="8" t="str">
        <x:v>returned</x:v>
      </x:c>
      <x:c r="I51" s="8" t="str"/>
      <x:c r="J51" s="10" t="n">
        <x:v>45764.375</x:v>
      </x:c>
      <x:c r="K51" s="8" t="str">
        <x:f>IF(COUNTIF('Usuarios'!$A$2:$A$61,B51)=1,"OK","ERROR")</x:f>
        <x:v>OK</x:v>
      </x:c>
      <x:c r="L51" s="8" t="str">
        <x:f>IF(COUNTIF('Objetos'!$A$2:$A$181,C51)=1,"OK","ERROR")</x:f>
        <x:v>OK</x:v>
      </x:c>
      <x:c r="M51" s="8" t="str">
        <x:f>IF(COUNTIF('Centros'!$A$2:$A$13,D51)=1,"OK","ERROR")</x:f>
        <x:v>OK</x:v>
      </x:c>
      <x:c r="N51" s="8" t="str">
        <x:f>IF(AND(G51&gt;F51,G51-F51&lt;=INDEX('Objetos'!$J$2:$J$181,MATCH(C51,'Objetos'!$A$2:$A$181,0))),"OK","ERROR")</x:f>
        <x:v>OK</x:v>
      </x:c>
    </x:row>
    <x:row r="52">
      <x:c r="A52" s="8" t="str">
        <x:v>RSV-000051</x:v>
      </x:c>
      <x:c r="B52" s="8" t="str">
        <x:v>USR-0051</x:v>
      </x:c>
      <x:c r="C52" s="8" t="str">
        <x:v>ITM-000051</x:v>
      </x:c>
      <x:c r="D52" s="8" t="str">
        <x:v>HUB-MAD-003</x:v>
      </x:c>
      <x:c r="E52" s="10" t="n">
        <x:v>45759.375</x:v>
      </x:c>
      <x:c r="F52" s="10" t="n">
        <x:v>45763.375</x:v>
      </x:c>
      <x:c r="G52" s="10" t="n">
        <x:v>45766.375</x:v>
      </x:c>
      <x:c r="H52" s="8" t="str">
        <x:v>returned</x:v>
      </x:c>
      <x:c r="I52" s="8" t="str"/>
      <x:c r="J52" s="10" t="n">
        <x:v>45766.375</x:v>
      </x:c>
      <x:c r="K52" s="8" t="str">
        <x:f>IF(COUNTIF('Usuarios'!$A$2:$A$61,B52)=1,"OK","ERROR")</x:f>
        <x:v>OK</x:v>
      </x:c>
      <x:c r="L52" s="8" t="str">
        <x:f>IF(COUNTIF('Objetos'!$A$2:$A$181,C52)=1,"OK","ERROR")</x:f>
        <x:v>OK</x:v>
      </x:c>
      <x:c r="M52" s="8" t="str">
        <x:f>IF(COUNTIF('Centros'!$A$2:$A$13,D52)=1,"OK","ERROR")</x:f>
        <x:v>OK</x:v>
      </x:c>
      <x:c r="N52" s="8" t="str">
        <x:f>IF(AND(G52&gt;F52,G52-F52&lt;=INDEX('Objetos'!$J$2:$J$181,MATCH(C52,'Objetos'!$A$2:$A$181,0))),"OK","ERROR")</x:f>
        <x:v>OK</x:v>
      </x:c>
    </x:row>
    <x:row r="53">
      <x:c r="A53" s="8" t="str">
        <x:v>RSV-000052</x:v>
      </x:c>
      <x:c r="B53" s="8" t="str">
        <x:v>USR-0058</x:v>
      </x:c>
      <x:c r="C53" s="8" t="str">
        <x:v>ITM-000052</x:v>
      </x:c>
      <x:c r="D53" s="8" t="str">
        <x:v>HUB-MAD-004</x:v>
      </x:c>
      <x:c r="E53" s="10" t="n">
        <x:v>45761.375</x:v>
      </x:c>
      <x:c r="F53" s="10" t="n">
        <x:v>45765.375</x:v>
      </x:c>
      <x:c r="G53" s="10" t="n">
        <x:v>45767.375</x:v>
      </x:c>
      <x:c r="H53" s="8" t="str">
        <x:v>returned</x:v>
      </x:c>
      <x:c r="I53" s="8" t="str"/>
      <x:c r="J53" s="10" t="n">
        <x:v>45767.375</x:v>
      </x:c>
      <x:c r="K53" s="8" t="str">
        <x:f>IF(COUNTIF('Usuarios'!$A$2:$A$61,B53)=1,"OK","ERROR")</x:f>
        <x:v>OK</x:v>
      </x:c>
      <x:c r="L53" s="8" t="str">
        <x:f>IF(COUNTIF('Objetos'!$A$2:$A$181,C53)=1,"OK","ERROR")</x:f>
        <x:v>OK</x:v>
      </x:c>
      <x:c r="M53" s="8" t="str">
        <x:f>IF(COUNTIF('Centros'!$A$2:$A$13,D53)=1,"OK","ERROR")</x:f>
        <x:v>OK</x:v>
      </x:c>
      <x:c r="N53" s="8" t="str">
        <x:f>IF(AND(G53&gt;F53,G53-F53&lt;=INDEX('Objetos'!$J$2:$J$181,MATCH(C53,'Objetos'!$A$2:$A$181,0))),"OK","ERROR")</x:f>
        <x:v>OK</x:v>
      </x:c>
    </x:row>
    <x:row r="54">
      <x:c r="A54" s="8" t="str">
        <x:v>RSV-000053</x:v>
      </x:c>
      <x:c r="B54" s="8" t="str">
        <x:v>USR-0005</x:v>
      </x:c>
      <x:c r="C54" s="8" t="str">
        <x:v>ITM-000053</x:v>
      </x:c>
      <x:c r="D54" s="8" t="str">
        <x:v>HUB-MAD-005</x:v>
      </x:c>
      <x:c r="E54" s="10" t="n">
        <x:v>45763.375</x:v>
      </x:c>
      <x:c r="F54" s="10" t="n">
        <x:v>45767.375</x:v>
      </x:c>
      <x:c r="G54" s="10" t="n">
        <x:v>45770.375</x:v>
      </x:c>
      <x:c r="H54" s="8" t="str">
        <x:v>returned</x:v>
      </x:c>
      <x:c r="I54" s="8" t="str">
        <x:v>Recogida por la tarde, si es posible.</x:v>
      </x:c>
      <x:c r="J54" s="10" t="n">
        <x:v>45770.375</x:v>
      </x:c>
      <x:c r="K54" s="8" t="str">
        <x:f>IF(COUNTIF('Usuarios'!$A$2:$A$61,B54)=1,"OK","ERROR")</x:f>
        <x:v>OK</x:v>
      </x:c>
      <x:c r="L54" s="8" t="str">
        <x:f>IF(COUNTIF('Objetos'!$A$2:$A$181,C54)=1,"OK","ERROR")</x:f>
        <x:v>OK</x:v>
      </x:c>
      <x:c r="M54" s="8" t="str">
        <x:f>IF(COUNTIF('Centros'!$A$2:$A$13,D54)=1,"OK","ERROR")</x:f>
        <x:v>OK</x:v>
      </x:c>
      <x:c r="N54" s="8" t="str">
        <x:f>IF(AND(G54&gt;F54,G54-F54&lt;=INDEX('Objetos'!$J$2:$J$181,MATCH(C54,'Objetos'!$A$2:$A$181,0))),"OK","ERROR")</x:f>
        <x:v>OK</x:v>
      </x:c>
    </x:row>
    <x:row r="55">
      <x:c r="A55" s="8" t="str">
        <x:v>RSV-000054</x:v>
      </x:c>
      <x:c r="B55" s="8" t="str">
        <x:v>USR-0012</x:v>
      </x:c>
      <x:c r="C55" s="8" t="str">
        <x:v>ITM-000054</x:v>
      </x:c>
      <x:c r="D55" s="8" t="str">
        <x:v>HUB-MAD-006</x:v>
      </x:c>
      <x:c r="E55" s="10" t="n">
        <x:v>45765.375</x:v>
      </x:c>
      <x:c r="F55" s="10" t="n">
        <x:v>45769.375</x:v>
      </x:c>
      <x:c r="G55" s="10" t="n">
        <x:v>45773.375</x:v>
      </x:c>
      <x:c r="H55" s="8" t="str">
        <x:v>returned</x:v>
      </x:c>
      <x:c r="I55" s="8" t="str"/>
      <x:c r="J55" s="10" t="n">
        <x:v>45773.375</x:v>
      </x:c>
      <x:c r="K55" s="8" t="str">
        <x:f>IF(COUNTIF('Usuarios'!$A$2:$A$61,B55)=1,"OK","ERROR")</x:f>
        <x:v>OK</x:v>
      </x:c>
      <x:c r="L55" s="8" t="str">
        <x:f>IF(COUNTIF('Objetos'!$A$2:$A$181,C55)=1,"OK","ERROR")</x:f>
        <x:v>OK</x:v>
      </x:c>
      <x:c r="M55" s="8" t="str">
        <x:f>IF(COUNTIF('Centros'!$A$2:$A$13,D55)=1,"OK","ERROR")</x:f>
        <x:v>OK</x:v>
      </x:c>
      <x:c r="N55" s="8" t="str">
        <x:f>IF(AND(G55&gt;F55,G55-F55&lt;=INDEX('Objetos'!$J$2:$J$181,MATCH(C55,'Objetos'!$A$2:$A$181,0))),"OK","ERROR")</x:f>
        <x:v>OK</x:v>
      </x:c>
    </x:row>
    <x:row r="56">
      <x:c r="A56" s="8" t="str">
        <x:v>RSV-000055</x:v>
      </x:c>
      <x:c r="B56" s="8" t="str">
        <x:v>USR-0019</x:v>
      </x:c>
      <x:c r="C56" s="8" t="str">
        <x:v>ITM-000055</x:v>
      </x:c>
      <x:c r="D56" s="8" t="str">
        <x:v>HUB-MAD-007</x:v>
      </x:c>
      <x:c r="E56" s="10" t="n">
        <x:v>45767.375</x:v>
      </x:c>
      <x:c r="F56" s="10" t="n">
        <x:v>45771.375</x:v>
      </x:c>
      <x:c r="G56" s="10" t="n">
        <x:v>45773.375</x:v>
      </x:c>
      <x:c r="H56" s="8" t="str">
        <x:v>returned</x:v>
      </x:c>
      <x:c r="I56" s="8" t="str"/>
      <x:c r="J56" s="10" t="n">
        <x:v>45773.375</x:v>
      </x:c>
      <x:c r="K56" s="8" t="str">
        <x:f>IF(COUNTIF('Usuarios'!$A$2:$A$61,B56)=1,"OK","ERROR")</x:f>
        <x:v>OK</x:v>
      </x:c>
      <x:c r="L56" s="8" t="str">
        <x:f>IF(COUNTIF('Objetos'!$A$2:$A$181,C56)=1,"OK","ERROR")</x:f>
        <x:v>OK</x:v>
      </x:c>
      <x:c r="M56" s="8" t="str">
        <x:f>IF(COUNTIF('Centros'!$A$2:$A$13,D56)=1,"OK","ERROR")</x:f>
        <x:v>OK</x:v>
      </x:c>
      <x:c r="N56" s="8" t="str">
        <x:f>IF(AND(G56&gt;F56,G56-F56&lt;=INDEX('Objetos'!$J$2:$J$181,MATCH(C56,'Objetos'!$A$2:$A$181,0))),"OK","ERROR")</x:f>
        <x:v>OK</x:v>
      </x:c>
    </x:row>
    <x:row r="57">
      <x:c r="A57" s="8" t="str">
        <x:v>RSV-000056</x:v>
      </x:c>
      <x:c r="B57" s="8" t="str">
        <x:v>USR-0026</x:v>
      </x:c>
      <x:c r="C57" s="8" t="str">
        <x:v>ITM-000056</x:v>
      </x:c>
      <x:c r="D57" s="8" t="str">
        <x:v>HUB-MAD-008</x:v>
      </x:c>
      <x:c r="E57" s="10" t="n">
        <x:v>45769.375</x:v>
      </x:c>
      <x:c r="F57" s="10" t="n">
        <x:v>45773.375</x:v>
      </x:c>
      <x:c r="G57" s="10" t="n">
        <x:v>45776.375</x:v>
      </x:c>
      <x:c r="H57" s="8" t="str">
        <x:v>returned</x:v>
      </x:c>
      <x:c r="I57" s="8" t="str"/>
      <x:c r="J57" s="10" t="n">
        <x:v>45776.375</x:v>
      </x:c>
      <x:c r="K57" s="8" t="str">
        <x:f>IF(COUNTIF('Usuarios'!$A$2:$A$61,B57)=1,"OK","ERROR")</x:f>
        <x:v>OK</x:v>
      </x:c>
      <x:c r="L57" s="8" t="str">
        <x:f>IF(COUNTIF('Objetos'!$A$2:$A$181,C57)=1,"OK","ERROR")</x:f>
        <x:v>OK</x:v>
      </x:c>
      <x:c r="M57" s="8" t="str">
        <x:f>IF(COUNTIF('Centros'!$A$2:$A$13,D57)=1,"OK","ERROR")</x:f>
        <x:v>OK</x:v>
      </x:c>
      <x:c r="N57" s="8" t="str">
        <x:f>IF(AND(G57&gt;F57,G57-F57&lt;=INDEX('Objetos'!$J$2:$J$181,MATCH(C57,'Objetos'!$A$2:$A$181,0))),"OK","ERROR")</x:f>
        <x:v>OK</x:v>
      </x:c>
    </x:row>
    <x:row r="58">
      <x:c r="A58" s="8" t="str">
        <x:v>RSV-000057</x:v>
      </x:c>
      <x:c r="B58" s="8" t="str">
        <x:v>USR-0033</x:v>
      </x:c>
      <x:c r="C58" s="8" t="str">
        <x:v>ITM-000057</x:v>
      </x:c>
      <x:c r="D58" s="8" t="str">
        <x:v>HUB-MAD-009</x:v>
      </x:c>
      <x:c r="E58" s="10" t="n">
        <x:v>45771.375</x:v>
      </x:c>
      <x:c r="F58" s="10" t="n">
        <x:v>45775.375</x:v>
      </x:c>
      <x:c r="G58" s="10" t="n">
        <x:v>45779.375</x:v>
      </x:c>
      <x:c r="H58" s="8" t="str">
        <x:v>returned</x:v>
      </x:c>
      <x:c r="I58" s="8" t="str">
        <x:v>Recogida por la tarde, si es posible.</x:v>
      </x:c>
      <x:c r="J58" s="10" t="n">
        <x:v>45779.375</x:v>
      </x:c>
      <x:c r="K58" s="8" t="str">
        <x:f>IF(COUNTIF('Usuarios'!$A$2:$A$61,B58)=1,"OK","ERROR")</x:f>
        <x:v>OK</x:v>
      </x:c>
      <x:c r="L58" s="8" t="str">
        <x:f>IF(COUNTIF('Objetos'!$A$2:$A$181,C58)=1,"OK","ERROR")</x:f>
        <x:v>OK</x:v>
      </x:c>
      <x:c r="M58" s="8" t="str">
        <x:f>IF(COUNTIF('Centros'!$A$2:$A$13,D58)=1,"OK","ERROR")</x:f>
        <x:v>OK</x:v>
      </x:c>
      <x:c r="N58" s="8" t="str">
        <x:f>IF(AND(G58&gt;F58,G58-F58&lt;=INDEX('Objetos'!$J$2:$J$181,MATCH(C58,'Objetos'!$A$2:$A$181,0))),"OK","ERROR")</x:f>
        <x:v>OK</x:v>
      </x:c>
    </x:row>
    <x:row r="59">
      <x:c r="A59" s="8" t="str">
        <x:v>RSV-000058</x:v>
      </x:c>
      <x:c r="B59" s="8" t="str">
        <x:v>USR-0040</x:v>
      </x:c>
      <x:c r="C59" s="8" t="str">
        <x:v>ITM-000058</x:v>
      </x:c>
      <x:c r="D59" s="8" t="str">
        <x:v>HUB-MAD-010</x:v>
      </x:c>
      <x:c r="E59" s="10" t="n">
        <x:v>45773.375</x:v>
      </x:c>
      <x:c r="F59" s="10" t="n">
        <x:v>45777.375</x:v>
      </x:c>
      <x:c r="G59" s="10" t="n">
        <x:v>45779.375</x:v>
      </x:c>
      <x:c r="H59" s="8" t="str">
        <x:v>returned</x:v>
      </x:c>
      <x:c r="I59" s="8" t="str"/>
      <x:c r="J59" s="10" t="n">
        <x:v>45779.375</x:v>
      </x:c>
      <x:c r="K59" s="8" t="str">
        <x:f>IF(COUNTIF('Usuarios'!$A$2:$A$61,B59)=1,"OK","ERROR")</x:f>
        <x:v>OK</x:v>
      </x:c>
      <x:c r="L59" s="8" t="str">
        <x:f>IF(COUNTIF('Objetos'!$A$2:$A$181,C59)=1,"OK","ERROR")</x:f>
        <x:v>OK</x:v>
      </x:c>
      <x:c r="M59" s="8" t="str">
        <x:f>IF(COUNTIF('Centros'!$A$2:$A$13,D59)=1,"OK","ERROR")</x:f>
        <x:v>OK</x:v>
      </x:c>
      <x:c r="N59" s="8" t="str">
        <x:f>IF(AND(G59&gt;F59,G59-F59&lt;=INDEX('Objetos'!$J$2:$J$181,MATCH(C59,'Objetos'!$A$2:$A$181,0))),"OK","ERROR")</x:f>
        <x:v>OK</x:v>
      </x:c>
    </x:row>
    <x:row r="60">
      <x:c r="A60" s="8" t="str">
        <x:v>RSV-000059</x:v>
      </x:c>
      <x:c r="B60" s="8" t="str">
        <x:v>USR-0047</x:v>
      </x:c>
      <x:c r="C60" s="8" t="str">
        <x:v>ITM-000059</x:v>
      </x:c>
      <x:c r="D60" s="8" t="str">
        <x:v>HUB-MAD-011</x:v>
      </x:c>
      <x:c r="E60" s="10" t="n">
        <x:v>45775.375</x:v>
      </x:c>
      <x:c r="F60" s="10" t="n">
        <x:v>45779.375</x:v>
      </x:c>
      <x:c r="G60" s="10" t="n">
        <x:v>45782.375</x:v>
      </x:c>
      <x:c r="H60" s="8" t="str">
        <x:v>returned</x:v>
      </x:c>
      <x:c r="I60" s="8" t="str"/>
      <x:c r="J60" s="10" t="n">
        <x:v>45782.375</x:v>
      </x:c>
      <x:c r="K60" s="8" t="str">
        <x:f>IF(COUNTIF('Usuarios'!$A$2:$A$61,B60)=1,"OK","ERROR")</x:f>
        <x:v>OK</x:v>
      </x:c>
      <x:c r="L60" s="8" t="str">
        <x:f>IF(COUNTIF('Objetos'!$A$2:$A$181,C60)=1,"OK","ERROR")</x:f>
        <x:v>OK</x:v>
      </x:c>
      <x:c r="M60" s="8" t="str">
        <x:f>IF(COUNTIF('Centros'!$A$2:$A$13,D60)=1,"OK","ERROR")</x:f>
        <x:v>OK</x:v>
      </x:c>
      <x:c r="N60" s="8" t="str">
        <x:f>IF(AND(G60&gt;F60,G60-F60&lt;=INDEX('Objetos'!$J$2:$J$181,MATCH(C60,'Objetos'!$A$2:$A$181,0))),"OK","ERROR")</x:f>
        <x:v>OK</x:v>
      </x:c>
    </x:row>
    <x:row r="61">
      <x:c r="A61" s="8" t="str">
        <x:v>RSV-000060</x:v>
      </x:c>
      <x:c r="B61" s="8" t="str">
        <x:v>USR-0054</x:v>
      </x:c>
      <x:c r="C61" s="8" t="str">
        <x:v>ITM-000060</x:v>
      </x:c>
      <x:c r="D61" s="8" t="str">
        <x:v>HUB-MAD-012</x:v>
      </x:c>
      <x:c r="E61" s="10" t="n">
        <x:v>45777.375</x:v>
      </x:c>
      <x:c r="F61" s="10" t="n">
        <x:v>45781.375</x:v>
      </x:c>
      <x:c r="G61" s="10" t="n">
        <x:v>45785.375</x:v>
      </x:c>
      <x:c r="H61" s="8" t="str">
        <x:v>returned</x:v>
      </x:c>
      <x:c r="I61" s="8" t="str"/>
      <x:c r="J61" s="10" t="n">
        <x:v>45785.375</x:v>
      </x:c>
      <x:c r="K61" s="8" t="str">
        <x:f>IF(COUNTIF('Usuarios'!$A$2:$A$61,B61)=1,"OK","ERROR")</x:f>
        <x:v>OK</x:v>
      </x:c>
      <x:c r="L61" s="8" t="str">
        <x:f>IF(COUNTIF('Objetos'!$A$2:$A$181,C61)=1,"OK","ERROR")</x:f>
        <x:v>OK</x:v>
      </x:c>
      <x:c r="M61" s="8" t="str">
        <x:f>IF(COUNTIF('Centros'!$A$2:$A$13,D61)=1,"OK","ERROR")</x:f>
        <x:v>OK</x:v>
      </x:c>
      <x:c r="N61" s="8" t="str">
        <x:f>IF(AND(G61&gt;F61,G61-F61&lt;=INDEX('Objetos'!$J$2:$J$181,MATCH(C61,'Objetos'!$A$2:$A$181,0))),"OK","ERROR")</x:f>
        <x:v>OK</x:v>
      </x:c>
    </x:row>
    <x:row r="62">
      <x:c r="A62" s="8" t="str">
        <x:v>RSV-000061</x:v>
      </x:c>
      <x:c r="B62" s="8" t="str">
        <x:v>USR-0001</x:v>
      </x:c>
      <x:c r="C62" s="8" t="str">
        <x:v>ITM-000061</x:v>
      </x:c>
      <x:c r="D62" s="8" t="str">
        <x:v>HUB-MAD-001</x:v>
      </x:c>
      <x:c r="E62" s="10" t="n">
        <x:v>45779.375</x:v>
      </x:c>
      <x:c r="F62" s="10" t="n">
        <x:v>45783.375</x:v>
      </x:c>
      <x:c r="G62" s="10" t="n">
        <x:v>45785.375</x:v>
      </x:c>
      <x:c r="H62" s="8" t="str">
        <x:v>returned</x:v>
      </x:c>
      <x:c r="I62" s="8" t="str">
        <x:v>Recogida por la tarde, si es posible.</x:v>
      </x:c>
      <x:c r="J62" s="10" t="n">
        <x:v>45785.375</x:v>
      </x:c>
      <x:c r="K62" s="8" t="str">
        <x:f>IF(COUNTIF('Usuarios'!$A$2:$A$61,B62)=1,"OK","ERROR")</x:f>
        <x:v>OK</x:v>
      </x:c>
      <x:c r="L62" s="8" t="str">
        <x:f>IF(COUNTIF('Objetos'!$A$2:$A$181,C62)=1,"OK","ERROR")</x:f>
        <x:v>OK</x:v>
      </x:c>
      <x:c r="M62" s="8" t="str">
        <x:f>IF(COUNTIF('Centros'!$A$2:$A$13,D62)=1,"OK","ERROR")</x:f>
        <x:v>OK</x:v>
      </x:c>
      <x:c r="N62" s="8" t="str">
        <x:f>IF(AND(G62&gt;F62,G62-F62&lt;=INDEX('Objetos'!$J$2:$J$181,MATCH(C62,'Objetos'!$A$2:$A$181,0))),"OK","ERROR")</x:f>
        <x:v>OK</x:v>
      </x:c>
    </x:row>
    <x:row r="63">
      <x:c r="A63" s="8" t="str">
        <x:v>RSV-000062</x:v>
      </x:c>
      <x:c r="B63" s="8" t="str">
        <x:v>USR-0008</x:v>
      </x:c>
      <x:c r="C63" s="8" t="str">
        <x:v>ITM-000062</x:v>
      </x:c>
      <x:c r="D63" s="8" t="str">
        <x:v>HUB-MAD-002</x:v>
      </x:c>
      <x:c r="E63" s="10" t="n">
        <x:v>45781.375</x:v>
      </x:c>
      <x:c r="F63" s="10" t="n">
        <x:v>45785.375</x:v>
      </x:c>
      <x:c r="G63" s="10" t="n">
        <x:v>45788.375</x:v>
      </x:c>
      <x:c r="H63" s="8" t="str">
        <x:v>returned</x:v>
      </x:c>
      <x:c r="I63" s="8" t="str"/>
      <x:c r="J63" s="10" t="n">
        <x:v>45788.375</x:v>
      </x:c>
      <x:c r="K63" s="8" t="str">
        <x:f>IF(COUNTIF('Usuarios'!$A$2:$A$61,B63)=1,"OK","ERROR")</x:f>
        <x:v>OK</x:v>
      </x:c>
      <x:c r="L63" s="8" t="str">
        <x:f>IF(COUNTIF('Objetos'!$A$2:$A$181,C63)=1,"OK","ERROR")</x:f>
        <x:v>OK</x:v>
      </x:c>
      <x:c r="M63" s="8" t="str">
        <x:f>IF(COUNTIF('Centros'!$A$2:$A$13,D63)=1,"OK","ERROR")</x:f>
        <x:v>OK</x:v>
      </x:c>
      <x:c r="N63" s="8" t="str">
        <x:f>IF(AND(G63&gt;F63,G63-F63&lt;=INDEX('Objetos'!$J$2:$J$181,MATCH(C63,'Objetos'!$A$2:$A$181,0))),"OK","ERROR")</x:f>
        <x:v>OK</x:v>
      </x:c>
    </x:row>
    <x:row r="64">
      <x:c r="A64" s="8" t="str">
        <x:v>RSV-000063</x:v>
      </x:c>
      <x:c r="B64" s="8" t="str">
        <x:v>USR-0015</x:v>
      </x:c>
      <x:c r="C64" s="8" t="str">
        <x:v>ITM-000063</x:v>
      </x:c>
      <x:c r="D64" s="8" t="str">
        <x:v>HUB-MAD-003</x:v>
      </x:c>
      <x:c r="E64" s="10" t="n">
        <x:v>45783.375</x:v>
      </x:c>
      <x:c r="F64" s="10" t="n">
        <x:v>45787.375</x:v>
      </x:c>
      <x:c r="G64" s="10" t="n">
        <x:v>45791.375</x:v>
      </x:c>
      <x:c r="H64" s="8" t="str">
        <x:v>returned</x:v>
      </x:c>
      <x:c r="I64" s="8" t="str"/>
      <x:c r="J64" s="10" t="n">
        <x:v>45791.375</x:v>
      </x:c>
      <x:c r="K64" s="8" t="str">
        <x:f>IF(COUNTIF('Usuarios'!$A$2:$A$61,B64)=1,"OK","ERROR")</x:f>
        <x:v>OK</x:v>
      </x:c>
      <x:c r="L64" s="8" t="str">
        <x:f>IF(COUNTIF('Objetos'!$A$2:$A$181,C64)=1,"OK","ERROR")</x:f>
        <x:v>OK</x:v>
      </x:c>
      <x:c r="M64" s="8" t="str">
        <x:f>IF(COUNTIF('Centros'!$A$2:$A$13,D64)=1,"OK","ERROR")</x:f>
        <x:v>OK</x:v>
      </x:c>
      <x:c r="N64" s="8" t="str">
        <x:f>IF(AND(G64&gt;F64,G64-F64&lt;=INDEX('Objetos'!$J$2:$J$181,MATCH(C64,'Objetos'!$A$2:$A$181,0))),"OK","ERROR")</x:f>
        <x:v>OK</x:v>
      </x:c>
    </x:row>
    <x:row r="65">
      <x:c r="A65" s="8" t="str">
        <x:v>RSV-000064</x:v>
      </x:c>
      <x:c r="B65" s="8" t="str">
        <x:v>USR-0022</x:v>
      </x:c>
      <x:c r="C65" s="8" t="str">
        <x:v>ITM-000064</x:v>
      </x:c>
      <x:c r="D65" s="8" t="str">
        <x:v>HUB-MAD-004</x:v>
      </x:c>
      <x:c r="E65" s="10" t="n">
        <x:v>45785.375</x:v>
      </x:c>
      <x:c r="F65" s="10" t="n">
        <x:v>45789.375</x:v>
      </x:c>
      <x:c r="G65" s="10" t="n">
        <x:v>45791.375</x:v>
      </x:c>
      <x:c r="H65" s="8" t="str">
        <x:v>returned</x:v>
      </x:c>
      <x:c r="I65" s="8" t="str"/>
      <x:c r="J65" s="10" t="n">
        <x:v>45791.375</x:v>
      </x:c>
      <x:c r="K65" s="8" t="str">
        <x:f>IF(COUNTIF('Usuarios'!$A$2:$A$61,B65)=1,"OK","ERROR")</x:f>
        <x:v>OK</x:v>
      </x:c>
      <x:c r="L65" s="8" t="str">
        <x:f>IF(COUNTIF('Objetos'!$A$2:$A$181,C65)=1,"OK","ERROR")</x:f>
        <x:v>OK</x:v>
      </x:c>
      <x:c r="M65" s="8" t="str">
        <x:f>IF(COUNTIF('Centros'!$A$2:$A$13,D65)=1,"OK","ERROR")</x:f>
        <x:v>OK</x:v>
      </x:c>
      <x:c r="N65" s="8" t="str">
        <x:f>IF(AND(G65&gt;F65,G65-F65&lt;=INDEX('Objetos'!$J$2:$J$181,MATCH(C65,'Objetos'!$A$2:$A$181,0))),"OK","ERROR")</x:f>
        <x:v>OK</x:v>
      </x:c>
    </x:row>
    <x:row r="66">
      <x:c r="A66" s="8" t="str">
        <x:v>RSV-000065</x:v>
      </x:c>
      <x:c r="B66" s="8" t="str">
        <x:v>USR-0029</x:v>
      </x:c>
      <x:c r="C66" s="8" t="str">
        <x:v>ITM-000065</x:v>
      </x:c>
      <x:c r="D66" s="8" t="str">
        <x:v>HUB-MAD-005</x:v>
      </x:c>
      <x:c r="E66" s="10" t="n">
        <x:v>45787.375</x:v>
      </x:c>
      <x:c r="F66" s="10" t="n">
        <x:v>45791.375</x:v>
      </x:c>
      <x:c r="G66" s="10" t="n">
        <x:v>45794.375</x:v>
      </x:c>
      <x:c r="H66" s="8" t="str">
        <x:v>returned</x:v>
      </x:c>
      <x:c r="I66" s="8" t="str">
        <x:v>Recogida por la tarde, si es posible.</x:v>
      </x:c>
      <x:c r="J66" s="10" t="n">
        <x:v>45794.375</x:v>
      </x:c>
      <x:c r="K66" s="8" t="str">
        <x:f>IF(COUNTIF('Usuarios'!$A$2:$A$61,B66)=1,"OK","ERROR")</x:f>
        <x:v>OK</x:v>
      </x:c>
      <x:c r="L66" s="8" t="str">
        <x:f>IF(COUNTIF('Objetos'!$A$2:$A$181,C66)=1,"OK","ERROR")</x:f>
        <x:v>OK</x:v>
      </x:c>
      <x:c r="M66" s="8" t="str">
        <x:f>IF(COUNTIF('Centros'!$A$2:$A$13,D66)=1,"OK","ERROR")</x:f>
        <x:v>OK</x:v>
      </x:c>
      <x:c r="N66" s="8" t="str">
        <x:f>IF(AND(G66&gt;F66,G66-F66&lt;=INDEX('Objetos'!$J$2:$J$181,MATCH(C66,'Objetos'!$A$2:$A$181,0))),"OK","ERROR")</x:f>
        <x:v>OK</x:v>
      </x:c>
    </x:row>
    <x:row r="67">
      <x:c r="A67" s="8" t="str">
        <x:v>RSV-000066</x:v>
      </x:c>
      <x:c r="B67" s="8" t="str">
        <x:v>USR-0036</x:v>
      </x:c>
      <x:c r="C67" s="8" t="str">
        <x:v>ITM-000066</x:v>
      </x:c>
      <x:c r="D67" s="8" t="str">
        <x:v>HUB-MAD-006</x:v>
      </x:c>
      <x:c r="E67" s="10" t="n">
        <x:v>45789.375</x:v>
      </x:c>
      <x:c r="F67" s="10" t="n">
        <x:v>45793.375</x:v>
      </x:c>
      <x:c r="G67" s="10" t="n">
        <x:v>45796.375</x:v>
      </x:c>
      <x:c r="H67" s="8" t="str">
        <x:v>returned</x:v>
      </x:c>
      <x:c r="I67" s="8" t="str"/>
      <x:c r="J67" s="10" t="n">
        <x:v>45796.375</x:v>
      </x:c>
      <x:c r="K67" s="8" t="str">
        <x:f>IF(COUNTIF('Usuarios'!$A$2:$A$61,B67)=1,"OK","ERROR")</x:f>
        <x:v>OK</x:v>
      </x:c>
      <x:c r="L67" s="8" t="str">
        <x:f>IF(COUNTIF('Objetos'!$A$2:$A$181,C67)=1,"OK","ERROR")</x:f>
        <x:v>OK</x:v>
      </x:c>
      <x:c r="M67" s="8" t="str">
        <x:f>IF(COUNTIF('Centros'!$A$2:$A$13,D67)=1,"OK","ERROR")</x:f>
        <x:v>OK</x:v>
      </x:c>
      <x:c r="N67" s="8" t="str">
        <x:f>IF(AND(G67&gt;F67,G67-F67&lt;=INDEX('Objetos'!$J$2:$J$181,MATCH(C67,'Objetos'!$A$2:$A$181,0))),"OK","ERROR")</x:f>
        <x:v>OK</x:v>
      </x:c>
    </x:row>
    <x:row r="68">
      <x:c r="A68" s="8" t="str">
        <x:v>RSV-000067</x:v>
      </x:c>
      <x:c r="B68" s="8" t="str">
        <x:v>USR-0043</x:v>
      </x:c>
      <x:c r="C68" s="8" t="str">
        <x:v>ITM-000067</x:v>
      </x:c>
      <x:c r="D68" s="8" t="str">
        <x:v>HUB-MAD-007</x:v>
      </x:c>
      <x:c r="E68" s="10" t="n">
        <x:v>45791.375</x:v>
      </x:c>
      <x:c r="F68" s="10" t="n">
        <x:v>45795.375</x:v>
      </x:c>
      <x:c r="G68" s="10" t="n">
        <x:v>45797.375</x:v>
      </x:c>
      <x:c r="H68" s="8" t="str">
        <x:v>returned</x:v>
      </x:c>
      <x:c r="I68" s="8" t="str"/>
      <x:c r="J68" s="10" t="n">
        <x:v>45797.375</x:v>
      </x:c>
      <x:c r="K68" s="8" t="str">
        <x:f>IF(COUNTIF('Usuarios'!$A$2:$A$61,B68)=1,"OK","ERROR")</x:f>
        <x:v>OK</x:v>
      </x:c>
      <x:c r="L68" s="8" t="str">
        <x:f>IF(COUNTIF('Objetos'!$A$2:$A$181,C68)=1,"OK","ERROR")</x:f>
        <x:v>OK</x:v>
      </x:c>
      <x:c r="M68" s="8" t="str">
        <x:f>IF(COUNTIF('Centros'!$A$2:$A$13,D68)=1,"OK","ERROR")</x:f>
        <x:v>OK</x:v>
      </x:c>
      <x:c r="N68" s="8" t="str">
        <x:f>IF(AND(G68&gt;F68,G68-F68&lt;=INDEX('Objetos'!$J$2:$J$181,MATCH(C68,'Objetos'!$A$2:$A$181,0))),"OK","ERROR")</x:f>
        <x:v>OK</x:v>
      </x:c>
    </x:row>
    <x:row r="69">
      <x:c r="A69" s="8" t="str">
        <x:v>RSV-000068</x:v>
      </x:c>
      <x:c r="B69" s="8" t="str">
        <x:v>USR-0050</x:v>
      </x:c>
      <x:c r="C69" s="8" t="str">
        <x:v>ITM-000068</x:v>
      </x:c>
      <x:c r="D69" s="8" t="str">
        <x:v>HUB-MAD-008</x:v>
      </x:c>
      <x:c r="E69" s="10" t="n">
        <x:v>45793.375</x:v>
      </x:c>
      <x:c r="F69" s="10" t="n">
        <x:v>45797.375</x:v>
      </x:c>
      <x:c r="G69" s="10" t="n">
        <x:v>45800.375</x:v>
      </x:c>
      <x:c r="H69" s="8" t="str">
        <x:v>returned</x:v>
      </x:c>
      <x:c r="I69" s="8" t="str"/>
      <x:c r="J69" s="10" t="n">
        <x:v>45800.375</x:v>
      </x:c>
      <x:c r="K69" s="8" t="str">
        <x:f>IF(COUNTIF('Usuarios'!$A$2:$A$61,B69)=1,"OK","ERROR")</x:f>
        <x:v>OK</x:v>
      </x:c>
      <x:c r="L69" s="8" t="str">
        <x:f>IF(COUNTIF('Objetos'!$A$2:$A$181,C69)=1,"OK","ERROR")</x:f>
        <x:v>OK</x:v>
      </x:c>
      <x:c r="M69" s="8" t="str">
        <x:f>IF(COUNTIF('Centros'!$A$2:$A$13,D69)=1,"OK","ERROR")</x:f>
        <x:v>OK</x:v>
      </x:c>
      <x:c r="N69" s="8" t="str">
        <x:f>IF(AND(G69&gt;F69,G69-F69&lt;=INDEX('Objetos'!$J$2:$J$181,MATCH(C69,'Objetos'!$A$2:$A$181,0))),"OK","ERROR")</x:f>
        <x:v>OK</x:v>
      </x:c>
    </x:row>
    <x:row r="70">
      <x:c r="A70" s="8" t="str">
        <x:v>RSV-000069</x:v>
      </x:c>
      <x:c r="B70" s="8" t="str">
        <x:v>USR-0057</x:v>
      </x:c>
      <x:c r="C70" s="8" t="str">
        <x:v>ITM-000069</x:v>
      </x:c>
      <x:c r="D70" s="8" t="str">
        <x:v>HUB-MAD-009</x:v>
      </x:c>
      <x:c r="E70" s="10" t="n">
        <x:v>45795.375</x:v>
      </x:c>
      <x:c r="F70" s="10" t="n">
        <x:v>45799.375</x:v>
      </x:c>
      <x:c r="G70" s="10" t="n">
        <x:v>45803.375</x:v>
      </x:c>
      <x:c r="H70" s="8" t="str">
        <x:v>returned</x:v>
      </x:c>
      <x:c r="I70" s="8" t="str">
        <x:v>Recogida por la tarde, si es posible.</x:v>
      </x:c>
      <x:c r="J70" s="10" t="n">
        <x:v>45803.375</x:v>
      </x:c>
      <x:c r="K70" s="8" t="str">
        <x:f>IF(COUNTIF('Usuarios'!$A$2:$A$61,B70)=1,"OK","ERROR")</x:f>
        <x:v>OK</x:v>
      </x:c>
      <x:c r="L70" s="8" t="str">
        <x:f>IF(COUNTIF('Objetos'!$A$2:$A$181,C70)=1,"OK","ERROR")</x:f>
        <x:v>OK</x:v>
      </x:c>
      <x:c r="M70" s="8" t="str">
        <x:f>IF(COUNTIF('Centros'!$A$2:$A$13,D70)=1,"OK","ERROR")</x:f>
        <x:v>OK</x:v>
      </x:c>
      <x:c r="N70" s="8" t="str">
        <x:f>IF(AND(G70&gt;F70,G70-F70&lt;=INDEX('Objetos'!$J$2:$J$181,MATCH(C70,'Objetos'!$A$2:$A$181,0))),"OK","ERROR")</x:f>
        <x:v>OK</x:v>
      </x:c>
    </x:row>
    <x:row r="71">
      <x:c r="A71" s="8" t="str">
        <x:v>RSV-000070</x:v>
      </x:c>
      <x:c r="B71" s="8" t="str">
        <x:v>USR-0004</x:v>
      </x:c>
      <x:c r="C71" s="8" t="str">
        <x:v>ITM-000070</x:v>
      </x:c>
      <x:c r="D71" s="8" t="str">
        <x:v>HUB-MAD-010</x:v>
      </x:c>
      <x:c r="E71" s="10" t="n">
        <x:v>45797.375</x:v>
      </x:c>
      <x:c r="F71" s="10" t="n">
        <x:v>45801.375</x:v>
      </x:c>
      <x:c r="G71" s="10" t="n">
        <x:v>45803.375</x:v>
      </x:c>
      <x:c r="H71" s="8" t="str">
        <x:v>returned</x:v>
      </x:c>
      <x:c r="I71" s="8" t="str"/>
      <x:c r="J71" s="10" t="n">
        <x:v>45803.375</x:v>
      </x:c>
      <x:c r="K71" s="8" t="str">
        <x:f>IF(COUNTIF('Usuarios'!$A$2:$A$61,B71)=1,"OK","ERROR")</x:f>
        <x:v>OK</x:v>
      </x:c>
      <x:c r="L71" s="8" t="str">
        <x:f>IF(COUNTIF('Objetos'!$A$2:$A$181,C71)=1,"OK","ERROR")</x:f>
        <x:v>OK</x:v>
      </x:c>
      <x:c r="M71" s="8" t="str">
        <x:f>IF(COUNTIF('Centros'!$A$2:$A$13,D71)=1,"OK","ERROR")</x:f>
        <x:v>OK</x:v>
      </x:c>
      <x:c r="N71" s="8" t="str">
        <x:f>IF(AND(G71&gt;F71,G71-F71&lt;=INDEX('Objetos'!$J$2:$J$181,MATCH(C71,'Objetos'!$A$2:$A$181,0))),"OK","ERROR")</x:f>
        <x:v>OK</x:v>
      </x:c>
    </x:row>
    <x:row r="72">
      <x:c r="A72" s="8" t="str">
        <x:v>RSV-000071</x:v>
      </x:c>
      <x:c r="B72" s="8" t="str">
        <x:v>USR-0011</x:v>
      </x:c>
      <x:c r="C72" s="8" t="str">
        <x:v>ITM-000071</x:v>
      </x:c>
      <x:c r="D72" s="8" t="str">
        <x:v>HUB-MAD-011</x:v>
      </x:c>
      <x:c r="E72" s="10" t="n">
        <x:v>45799.375</x:v>
      </x:c>
      <x:c r="F72" s="10" t="n">
        <x:v>45803.375</x:v>
      </x:c>
      <x:c r="G72" s="10" t="n">
        <x:v>45806.375</x:v>
      </x:c>
      <x:c r="H72" s="8" t="str">
        <x:v>returned</x:v>
      </x:c>
      <x:c r="I72" s="8" t="str"/>
      <x:c r="J72" s="10" t="n">
        <x:v>45806.375</x:v>
      </x:c>
      <x:c r="K72" s="8" t="str">
        <x:f>IF(COUNTIF('Usuarios'!$A$2:$A$61,B72)=1,"OK","ERROR")</x:f>
        <x:v>OK</x:v>
      </x:c>
      <x:c r="L72" s="8" t="str">
        <x:f>IF(COUNTIF('Objetos'!$A$2:$A$181,C72)=1,"OK","ERROR")</x:f>
        <x:v>OK</x:v>
      </x:c>
      <x:c r="M72" s="8" t="str">
        <x:f>IF(COUNTIF('Centros'!$A$2:$A$13,D72)=1,"OK","ERROR")</x:f>
        <x:v>OK</x:v>
      </x:c>
      <x:c r="N72" s="8" t="str">
        <x:f>IF(AND(G72&gt;F72,G72-F72&lt;=INDEX('Objetos'!$J$2:$J$181,MATCH(C72,'Objetos'!$A$2:$A$181,0))),"OK","ERROR")</x:f>
        <x:v>OK</x:v>
      </x:c>
    </x:row>
    <x:row r="73">
      <x:c r="A73" s="8" t="str">
        <x:v>RSV-000072</x:v>
      </x:c>
      <x:c r="B73" s="8" t="str">
        <x:v>USR-0018</x:v>
      </x:c>
      <x:c r="C73" s="8" t="str">
        <x:v>ITM-000072</x:v>
      </x:c>
      <x:c r="D73" s="8" t="str">
        <x:v>HUB-MAD-012</x:v>
      </x:c>
      <x:c r="E73" s="10" t="n">
        <x:v>45801.375</x:v>
      </x:c>
      <x:c r="F73" s="10" t="n">
        <x:v>45805.375</x:v>
      </x:c>
      <x:c r="G73" s="10" t="n">
        <x:v>45809.375</x:v>
      </x:c>
      <x:c r="H73" s="8" t="str">
        <x:v>returned</x:v>
      </x:c>
      <x:c r="I73" s="8" t="str"/>
      <x:c r="J73" s="10" t="n">
        <x:v>45809.375</x:v>
      </x:c>
      <x:c r="K73" s="8" t="str">
        <x:f>IF(COUNTIF('Usuarios'!$A$2:$A$61,B73)=1,"OK","ERROR")</x:f>
        <x:v>OK</x:v>
      </x:c>
      <x:c r="L73" s="8" t="str">
        <x:f>IF(COUNTIF('Objetos'!$A$2:$A$181,C73)=1,"OK","ERROR")</x:f>
        <x:v>OK</x:v>
      </x:c>
      <x:c r="M73" s="8" t="str">
        <x:f>IF(COUNTIF('Centros'!$A$2:$A$13,D73)=1,"OK","ERROR")</x:f>
        <x:v>OK</x:v>
      </x:c>
      <x:c r="N73" s="8" t="str">
        <x:f>IF(AND(G73&gt;F73,G73-F73&lt;=INDEX('Objetos'!$J$2:$J$181,MATCH(C73,'Objetos'!$A$2:$A$181,0))),"OK","ERROR")</x:f>
        <x:v>OK</x:v>
      </x:c>
    </x:row>
    <x:row r="74">
      <x:c r="A74" s="8" t="str">
        <x:v>RSV-000073</x:v>
      </x:c>
      <x:c r="B74" s="8" t="str">
        <x:v>USR-0025</x:v>
      </x:c>
      <x:c r="C74" s="8" t="str">
        <x:v>ITM-000073</x:v>
      </x:c>
      <x:c r="D74" s="8" t="str">
        <x:v>HUB-MAD-001</x:v>
      </x:c>
      <x:c r="E74" s="10" t="n">
        <x:v>45803.375</x:v>
      </x:c>
      <x:c r="F74" s="10" t="n">
        <x:v>45807.375</x:v>
      </x:c>
      <x:c r="G74" s="10" t="n">
        <x:v>45809.375</x:v>
      </x:c>
      <x:c r="H74" s="8" t="str">
        <x:v>returned</x:v>
      </x:c>
      <x:c r="I74" s="8" t="str">
        <x:v>Recogida por la tarde, si es posible.</x:v>
      </x:c>
      <x:c r="J74" s="10" t="n">
        <x:v>45809.375</x:v>
      </x:c>
      <x:c r="K74" s="8" t="str">
        <x:f>IF(COUNTIF('Usuarios'!$A$2:$A$61,B74)=1,"OK","ERROR")</x:f>
        <x:v>OK</x:v>
      </x:c>
      <x:c r="L74" s="8" t="str">
        <x:f>IF(COUNTIF('Objetos'!$A$2:$A$181,C74)=1,"OK","ERROR")</x:f>
        <x:v>OK</x:v>
      </x:c>
      <x:c r="M74" s="8" t="str">
        <x:f>IF(COUNTIF('Centros'!$A$2:$A$13,D74)=1,"OK","ERROR")</x:f>
        <x:v>OK</x:v>
      </x:c>
      <x:c r="N74" s="8" t="str">
        <x:f>IF(AND(G74&gt;F74,G74-F74&lt;=INDEX('Objetos'!$J$2:$J$181,MATCH(C74,'Objetos'!$A$2:$A$181,0))),"OK","ERROR")</x:f>
        <x:v>OK</x:v>
      </x:c>
    </x:row>
    <x:row r="75">
      <x:c r="A75" s="8" t="str">
        <x:v>RSV-000074</x:v>
      </x:c>
      <x:c r="B75" s="8" t="str">
        <x:v>USR-0032</x:v>
      </x:c>
      <x:c r="C75" s="8" t="str">
        <x:v>ITM-000074</x:v>
      </x:c>
      <x:c r="D75" s="8" t="str">
        <x:v>HUB-MAD-002</x:v>
      </x:c>
      <x:c r="E75" s="10" t="n">
        <x:v>45805.375</x:v>
      </x:c>
      <x:c r="F75" s="10" t="n">
        <x:v>45809.375</x:v>
      </x:c>
      <x:c r="G75" s="10" t="n">
        <x:v>45812.375</x:v>
      </x:c>
      <x:c r="H75" s="8" t="str">
        <x:v>returned</x:v>
      </x:c>
      <x:c r="I75" s="8" t="str"/>
      <x:c r="J75" s="10" t="n">
        <x:v>45812.375</x:v>
      </x:c>
      <x:c r="K75" s="8" t="str">
        <x:f>IF(COUNTIF('Usuarios'!$A$2:$A$61,B75)=1,"OK","ERROR")</x:f>
        <x:v>OK</x:v>
      </x:c>
      <x:c r="L75" s="8" t="str">
        <x:f>IF(COUNTIF('Objetos'!$A$2:$A$181,C75)=1,"OK","ERROR")</x:f>
        <x:v>OK</x:v>
      </x:c>
      <x:c r="M75" s="8" t="str">
        <x:f>IF(COUNTIF('Centros'!$A$2:$A$13,D75)=1,"OK","ERROR")</x:f>
        <x:v>OK</x:v>
      </x:c>
      <x:c r="N75" s="8" t="str">
        <x:f>IF(AND(G75&gt;F75,G75-F75&lt;=INDEX('Objetos'!$J$2:$J$181,MATCH(C75,'Objetos'!$A$2:$A$181,0))),"OK","ERROR")</x:f>
        <x:v>OK</x:v>
      </x:c>
    </x:row>
    <x:row r="76">
      <x:c r="A76" s="8" t="str">
        <x:v>RSV-000075</x:v>
      </x:c>
      <x:c r="B76" s="8" t="str">
        <x:v>USR-0039</x:v>
      </x:c>
      <x:c r="C76" s="8" t="str">
        <x:v>ITM-000075</x:v>
      </x:c>
      <x:c r="D76" s="8" t="str">
        <x:v>HUB-MAD-003</x:v>
      </x:c>
      <x:c r="E76" s="10" t="n">
        <x:v>45807.375</x:v>
      </x:c>
      <x:c r="F76" s="10" t="n">
        <x:v>45811.375</x:v>
      </x:c>
      <x:c r="G76" s="10" t="n">
        <x:v>45815.375</x:v>
      </x:c>
      <x:c r="H76" s="8" t="str">
        <x:v>returned</x:v>
      </x:c>
      <x:c r="I76" s="8" t="str"/>
      <x:c r="J76" s="10" t="n">
        <x:v>45815.375</x:v>
      </x:c>
      <x:c r="K76" s="8" t="str">
        <x:f>IF(COUNTIF('Usuarios'!$A$2:$A$61,B76)=1,"OK","ERROR")</x:f>
        <x:v>OK</x:v>
      </x:c>
      <x:c r="L76" s="8" t="str">
        <x:f>IF(COUNTIF('Objetos'!$A$2:$A$181,C76)=1,"OK","ERROR")</x:f>
        <x:v>OK</x:v>
      </x:c>
      <x:c r="M76" s="8" t="str">
        <x:f>IF(COUNTIF('Centros'!$A$2:$A$13,D76)=1,"OK","ERROR")</x:f>
        <x:v>OK</x:v>
      </x:c>
      <x:c r="N76" s="8" t="str">
        <x:f>IF(AND(G76&gt;F76,G76-F76&lt;=INDEX('Objetos'!$J$2:$J$181,MATCH(C76,'Objetos'!$A$2:$A$181,0))),"OK","ERROR")</x:f>
        <x:v>OK</x:v>
      </x:c>
    </x:row>
    <x:row r="77">
      <x:c r="A77" s="8" t="str">
        <x:v>RSV-000076</x:v>
      </x:c>
      <x:c r="B77" s="8" t="str">
        <x:v>USR-0046</x:v>
      </x:c>
      <x:c r="C77" s="8" t="str">
        <x:v>ITM-000076</x:v>
      </x:c>
      <x:c r="D77" s="8" t="str">
        <x:v>HUB-MAD-004</x:v>
      </x:c>
      <x:c r="E77" s="10" t="n">
        <x:v>45809.375</x:v>
      </x:c>
      <x:c r="F77" s="10" t="n">
        <x:v>45813.375</x:v>
      </x:c>
      <x:c r="G77" s="10" t="n">
        <x:v>45815.375</x:v>
      </x:c>
      <x:c r="H77" s="8" t="str">
        <x:v>returned</x:v>
      </x:c>
      <x:c r="I77" s="8" t="str"/>
      <x:c r="J77" s="10" t="n">
        <x:v>45815.375</x:v>
      </x:c>
      <x:c r="K77" s="8" t="str">
        <x:f>IF(COUNTIF('Usuarios'!$A$2:$A$61,B77)=1,"OK","ERROR")</x:f>
        <x:v>OK</x:v>
      </x:c>
      <x:c r="L77" s="8" t="str">
        <x:f>IF(COUNTIF('Objetos'!$A$2:$A$181,C77)=1,"OK","ERROR")</x:f>
        <x:v>OK</x:v>
      </x:c>
      <x:c r="M77" s="8" t="str">
        <x:f>IF(COUNTIF('Centros'!$A$2:$A$13,D77)=1,"OK","ERROR")</x:f>
        <x:v>OK</x:v>
      </x:c>
      <x:c r="N77" s="8" t="str">
        <x:f>IF(AND(G77&gt;F77,G77-F77&lt;=INDEX('Objetos'!$J$2:$J$181,MATCH(C77,'Objetos'!$A$2:$A$181,0))),"OK","ERROR")</x:f>
        <x:v>OK</x:v>
      </x:c>
    </x:row>
    <x:row r="78">
      <x:c r="A78" s="8" t="str">
        <x:v>RSV-000077</x:v>
      </x:c>
      <x:c r="B78" s="8" t="str">
        <x:v>USR-0053</x:v>
      </x:c>
      <x:c r="C78" s="8" t="str">
        <x:v>ITM-000077</x:v>
      </x:c>
      <x:c r="D78" s="8" t="str">
        <x:v>HUB-MAD-005</x:v>
      </x:c>
      <x:c r="E78" s="10" t="n">
        <x:v>45811.375</x:v>
      </x:c>
      <x:c r="F78" s="10" t="n">
        <x:v>45815.375</x:v>
      </x:c>
      <x:c r="G78" s="10" t="n">
        <x:v>45818.375</x:v>
      </x:c>
      <x:c r="H78" s="8" t="str">
        <x:v>returned</x:v>
      </x:c>
      <x:c r="I78" s="8" t="str">
        <x:v>Recogida por la tarde, si es posible.</x:v>
      </x:c>
      <x:c r="J78" s="10" t="n">
        <x:v>45818.375</x:v>
      </x:c>
      <x:c r="K78" s="8" t="str">
        <x:f>IF(COUNTIF('Usuarios'!$A$2:$A$61,B78)=1,"OK","ERROR")</x:f>
        <x:v>OK</x:v>
      </x:c>
      <x:c r="L78" s="8" t="str">
        <x:f>IF(COUNTIF('Objetos'!$A$2:$A$181,C78)=1,"OK","ERROR")</x:f>
        <x:v>OK</x:v>
      </x:c>
      <x:c r="M78" s="8" t="str">
        <x:f>IF(COUNTIF('Centros'!$A$2:$A$13,D78)=1,"OK","ERROR")</x:f>
        <x:v>OK</x:v>
      </x:c>
      <x:c r="N78" s="8" t="str">
        <x:f>IF(AND(G78&gt;F78,G78-F78&lt;=INDEX('Objetos'!$J$2:$J$181,MATCH(C78,'Objetos'!$A$2:$A$181,0))),"OK","ERROR")</x:f>
        <x:v>OK</x:v>
      </x:c>
    </x:row>
    <x:row r="79">
      <x:c r="A79" s="8" t="str">
        <x:v>RSV-000078</x:v>
      </x:c>
      <x:c r="B79" s="8" t="str">
        <x:v>USR-0060</x:v>
      </x:c>
      <x:c r="C79" s="8" t="str">
        <x:v>ITM-000078</x:v>
      </x:c>
      <x:c r="D79" s="8" t="str">
        <x:v>HUB-MAD-006</x:v>
      </x:c>
      <x:c r="E79" s="10" t="n">
        <x:v>45813.375</x:v>
      </x:c>
      <x:c r="F79" s="10" t="n">
        <x:v>45817.375</x:v>
      </x:c>
      <x:c r="G79" s="10" t="n">
        <x:v>45821.375</x:v>
      </x:c>
      <x:c r="H79" s="8" t="str">
        <x:v>returned</x:v>
      </x:c>
      <x:c r="I79" s="8" t="str"/>
      <x:c r="J79" s="10" t="n">
        <x:v>45821.375</x:v>
      </x:c>
      <x:c r="K79" s="8" t="str">
        <x:f>IF(COUNTIF('Usuarios'!$A$2:$A$61,B79)=1,"OK","ERROR")</x:f>
        <x:v>OK</x:v>
      </x:c>
      <x:c r="L79" s="8" t="str">
        <x:f>IF(COUNTIF('Objetos'!$A$2:$A$181,C79)=1,"OK","ERROR")</x:f>
        <x:v>OK</x:v>
      </x:c>
      <x:c r="M79" s="8" t="str">
        <x:f>IF(COUNTIF('Centros'!$A$2:$A$13,D79)=1,"OK","ERROR")</x:f>
        <x:v>OK</x:v>
      </x:c>
      <x:c r="N79" s="8" t="str">
        <x:f>IF(AND(G79&gt;F79,G79-F79&lt;=INDEX('Objetos'!$J$2:$J$181,MATCH(C79,'Objetos'!$A$2:$A$181,0))),"OK","ERROR")</x:f>
        <x:v>OK</x:v>
      </x:c>
    </x:row>
    <x:row r="80">
      <x:c r="A80" s="8" t="str">
        <x:v>RSV-000079</x:v>
      </x:c>
      <x:c r="B80" s="8" t="str">
        <x:v>USR-0007</x:v>
      </x:c>
      <x:c r="C80" s="8" t="str">
        <x:v>ITM-000079</x:v>
      </x:c>
      <x:c r="D80" s="8" t="str">
        <x:v>HUB-MAD-007</x:v>
      </x:c>
      <x:c r="E80" s="10" t="n">
        <x:v>45815.375</x:v>
      </x:c>
      <x:c r="F80" s="10" t="n">
        <x:v>45819.375</x:v>
      </x:c>
      <x:c r="G80" s="10" t="n">
        <x:v>45821.375</x:v>
      </x:c>
      <x:c r="H80" s="8" t="str">
        <x:v>returned</x:v>
      </x:c>
      <x:c r="I80" s="8" t="str"/>
      <x:c r="J80" s="10" t="n">
        <x:v>45821.375</x:v>
      </x:c>
      <x:c r="K80" s="8" t="str">
        <x:f>IF(COUNTIF('Usuarios'!$A$2:$A$61,B80)=1,"OK","ERROR")</x:f>
        <x:v>OK</x:v>
      </x:c>
      <x:c r="L80" s="8" t="str">
        <x:f>IF(COUNTIF('Objetos'!$A$2:$A$181,C80)=1,"OK","ERROR")</x:f>
        <x:v>OK</x:v>
      </x:c>
      <x:c r="M80" s="8" t="str">
        <x:f>IF(COUNTIF('Centros'!$A$2:$A$13,D80)=1,"OK","ERROR")</x:f>
        <x:v>OK</x:v>
      </x:c>
      <x:c r="N80" s="8" t="str">
        <x:f>IF(AND(G80&gt;F80,G80-F80&lt;=INDEX('Objetos'!$J$2:$J$181,MATCH(C80,'Objetos'!$A$2:$A$181,0))),"OK","ERROR")</x:f>
        <x:v>OK</x:v>
      </x:c>
    </x:row>
    <x:row r="81">
      <x:c r="A81" s="8" t="str">
        <x:v>RSV-000080</x:v>
      </x:c>
      <x:c r="B81" s="8" t="str">
        <x:v>USR-0014</x:v>
      </x:c>
      <x:c r="C81" s="8" t="str">
        <x:v>ITM-000080</x:v>
      </x:c>
      <x:c r="D81" s="8" t="str">
        <x:v>HUB-MAD-008</x:v>
      </x:c>
      <x:c r="E81" s="10" t="n">
        <x:v>45817.375</x:v>
      </x:c>
      <x:c r="F81" s="10" t="n">
        <x:v>45821.375</x:v>
      </x:c>
      <x:c r="G81" s="10" t="n">
        <x:v>45824.375</x:v>
      </x:c>
      <x:c r="H81" s="8" t="str">
        <x:v>returned</x:v>
      </x:c>
      <x:c r="I81" s="8" t="str"/>
      <x:c r="J81" s="10" t="n">
        <x:v>45824.375</x:v>
      </x:c>
      <x:c r="K81" s="8" t="str">
        <x:f>IF(COUNTIF('Usuarios'!$A$2:$A$61,B81)=1,"OK","ERROR")</x:f>
        <x:v>OK</x:v>
      </x:c>
      <x:c r="L81" s="8" t="str">
        <x:f>IF(COUNTIF('Objetos'!$A$2:$A$181,C81)=1,"OK","ERROR")</x:f>
        <x:v>OK</x:v>
      </x:c>
      <x:c r="M81" s="8" t="str">
        <x:f>IF(COUNTIF('Centros'!$A$2:$A$13,D81)=1,"OK","ERROR")</x:f>
        <x:v>OK</x:v>
      </x:c>
      <x:c r="N81" s="8" t="str">
        <x:f>IF(AND(G81&gt;F81,G81-F81&lt;=INDEX('Objetos'!$J$2:$J$181,MATCH(C81,'Objetos'!$A$2:$A$181,0))),"OK","ERROR")</x:f>
        <x:v>OK</x:v>
      </x:c>
    </x:row>
    <x:row r="82">
      <x:c r="A82" s="8" t="str">
        <x:v>RSV-000081</x:v>
      </x:c>
      <x:c r="B82" s="8" t="str">
        <x:v>USR-0021</x:v>
      </x:c>
      <x:c r="C82" s="8" t="str">
        <x:v>ITM-000081</x:v>
      </x:c>
      <x:c r="D82" s="8" t="str">
        <x:v>HUB-MAD-009</x:v>
      </x:c>
      <x:c r="E82" s="10" t="n">
        <x:v>45819.375</x:v>
      </x:c>
      <x:c r="F82" s="10" t="n">
        <x:v>45823.375</x:v>
      </x:c>
      <x:c r="G82" s="10" t="n">
        <x:v>45826.375</x:v>
      </x:c>
      <x:c r="H82" s="8" t="str">
        <x:v>returned</x:v>
      </x:c>
      <x:c r="I82" s="8" t="str">
        <x:v>Recogida por la tarde, si es posible.</x:v>
      </x:c>
      <x:c r="J82" s="10" t="n">
        <x:v>45826.375</x:v>
      </x:c>
      <x:c r="K82" s="8" t="str">
        <x:f>IF(COUNTIF('Usuarios'!$A$2:$A$61,B82)=1,"OK","ERROR")</x:f>
        <x:v>OK</x:v>
      </x:c>
      <x:c r="L82" s="8" t="str">
        <x:f>IF(COUNTIF('Objetos'!$A$2:$A$181,C82)=1,"OK","ERROR")</x:f>
        <x:v>OK</x:v>
      </x:c>
      <x:c r="M82" s="8" t="str">
        <x:f>IF(COUNTIF('Centros'!$A$2:$A$13,D82)=1,"OK","ERROR")</x:f>
        <x:v>OK</x:v>
      </x:c>
      <x:c r="N82" s="8" t="str">
        <x:f>IF(AND(G82&gt;F82,G82-F82&lt;=INDEX('Objetos'!$J$2:$J$181,MATCH(C82,'Objetos'!$A$2:$A$181,0))),"OK","ERROR")</x:f>
        <x:v>OK</x:v>
      </x:c>
    </x:row>
    <x:row r="83">
      <x:c r="A83" s="8" t="str">
        <x:v>RSV-000082</x:v>
      </x:c>
      <x:c r="B83" s="8" t="str">
        <x:v>USR-0028</x:v>
      </x:c>
      <x:c r="C83" s="8" t="str">
        <x:v>ITM-000082</x:v>
      </x:c>
      <x:c r="D83" s="8" t="str">
        <x:v>HUB-MAD-010</x:v>
      </x:c>
      <x:c r="E83" s="10" t="n">
        <x:v>45821.375</x:v>
      </x:c>
      <x:c r="F83" s="10" t="n">
        <x:v>45825.375</x:v>
      </x:c>
      <x:c r="G83" s="10" t="n">
        <x:v>45827.375</x:v>
      </x:c>
      <x:c r="H83" s="8" t="str">
        <x:v>returned</x:v>
      </x:c>
      <x:c r="I83" s="8" t="str"/>
      <x:c r="J83" s="10" t="n">
        <x:v>45827.375</x:v>
      </x:c>
      <x:c r="K83" s="8" t="str">
        <x:f>IF(COUNTIF('Usuarios'!$A$2:$A$61,B83)=1,"OK","ERROR")</x:f>
        <x:v>OK</x:v>
      </x:c>
      <x:c r="L83" s="8" t="str">
        <x:f>IF(COUNTIF('Objetos'!$A$2:$A$181,C83)=1,"OK","ERROR")</x:f>
        <x:v>OK</x:v>
      </x:c>
      <x:c r="M83" s="8" t="str">
        <x:f>IF(COUNTIF('Centros'!$A$2:$A$13,D83)=1,"OK","ERROR")</x:f>
        <x:v>OK</x:v>
      </x:c>
      <x:c r="N83" s="8" t="str">
        <x:f>IF(AND(G83&gt;F83,G83-F83&lt;=INDEX('Objetos'!$J$2:$J$181,MATCH(C83,'Objetos'!$A$2:$A$181,0))),"OK","ERROR")</x:f>
        <x:v>OK</x:v>
      </x:c>
    </x:row>
    <x:row r="84">
      <x:c r="A84" s="8" t="str">
        <x:v>RSV-000083</x:v>
      </x:c>
      <x:c r="B84" s="8" t="str">
        <x:v>USR-0035</x:v>
      </x:c>
      <x:c r="C84" s="8" t="str">
        <x:v>ITM-000083</x:v>
      </x:c>
      <x:c r="D84" s="8" t="str">
        <x:v>HUB-MAD-011</x:v>
      </x:c>
      <x:c r="E84" s="10" t="n">
        <x:v>45823.375</x:v>
      </x:c>
      <x:c r="F84" s="10" t="n">
        <x:v>45827.375</x:v>
      </x:c>
      <x:c r="G84" s="10" t="n">
        <x:v>45830.375</x:v>
      </x:c>
      <x:c r="H84" s="8" t="str">
        <x:v>returned</x:v>
      </x:c>
      <x:c r="I84" s="8" t="str"/>
      <x:c r="J84" s="10" t="n">
        <x:v>45830.375</x:v>
      </x:c>
      <x:c r="K84" s="8" t="str">
        <x:f>IF(COUNTIF('Usuarios'!$A$2:$A$61,B84)=1,"OK","ERROR")</x:f>
        <x:v>OK</x:v>
      </x:c>
      <x:c r="L84" s="8" t="str">
        <x:f>IF(COUNTIF('Objetos'!$A$2:$A$181,C84)=1,"OK","ERROR")</x:f>
        <x:v>OK</x:v>
      </x:c>
      <x:c r="M84" s="8" t="str">
        <x:f>IF(COUNTIF('Centros'!$A$2:$A$13,D84)=1,"OK","ERROR")</x:f>
        <x:v>OK</x:v>
      </x:c>
      <x:c r="N84" s="8" t="str">
        <x:f>IF(AND(G84&gt;F84,G84-F84&lt;=INDEX('Objetos'!$J$2:$J$181,MATCH(C84,'Objetos'!$A$2:$A$181,0))),"OK","ERROR")</x:f>
        <x:v>OK</x:v>
      </x:c>
    </x:row>
    <x:row r="85">
      <x:c r="A85" s="8" t="str">
        <x:v>RSV-000084</x:v>
      </x:c>
      <x:c r="B85" s="8" t="str">
        <x:v>USR-0042</x:v>
      </x:c>
      <x:c r="C85" s="8" t="str">
        <x:v>ITM-000084</x:v>
      </x:c>
      <x:c r="D85" s="8" t="str">
        <x:v>HUB-MAD-012</x:v>
      </x:c>
      <x:c r="E85" s="10" t="n">
        <x:v>45825.375</x:v>
      </x:c>
      <x:c r="F85" s="10" t="n">
        <x:v>45829.375</x:v>
      </x:c>
      <x:c r="G85" s="10" t="n">
        <x:v>45833.375</x:v>
      </x:c>
      <x:c r="H85" s="8" t="str">
        <x:v>returned</x:v>
      </x:c>
      <x:c r="I85" s="8" t="str"/>
      <x:c r="J85" s="10" t="n">
        <x:v>45833.375</x:v>
      </x:c>
      <x:c r="K85" s="8" t="str">
        <x:f>IF(COUNTIF('Usuarios'!$A$2:$A$61,B85)=1,"OK","ERROR")</x:f>
        <x:v>OK</x:v>
      </x:c>
      <x:c r="L85" s="8" t="str">
        <x:f>IF(COUNTIF('Objetos'!$A$2:$A$181,C85)=1,"OK","ERROR")</x:f>
        <x:v>OK</x:v>
      </x:c>
      <x:c r="M85" s="8" t="str">
        <x:f>IF(COUNTIF('Centros'!$A$2:$A$13,D85)=1,"OK","ERROR")</x:f>
        <x:v>OK</x:v>
      </x:c>
      <x:c r="N85" s="8" t="str">
        <x:f>IF(AND(G85&gt;F85,G85-F85&lt;=INDEX('Objetos'!$J$2:$J$181,MATCH(C85,'Objetos'!$A$2:$A$181,0))),"OK","ERROR")</x:f>
        <x:v>OK</x:v>
      </x:c>
    </x:row>
    <x:row r="86">
      <x:c r="A86" s="8" t="str">
        <x:v>RSV-000085</x:v>
      </x:c>
      <x:c r="B86" s="8" t="str">
        <x:v>USR-0049</x:v>
      </x:c>
      <x:c r="C86" s="8" t="str">
        <x:v>ITM-000085</x:v>
      </x:c>
      <x:c r="D86" s="8" t="str">
        <x:v>HUB-MAD-001</x:v>
      </x:c>
      <x:c r="E86" s="10" t="n">
        <x:v>45827.375</x:v>
      </x:c>
      <x:c r="F86" s="10" t="n">
        <x:v>45831.375</x:v>
      </x:c>
      <x:c r="G86" s="10" t="n">
        <x:v>45833.375</x:v>
      </x:c>
      <x:c r="H86" s="8" t="str">
        <x:v>returned</x:v>
      </x:c>
      <x:c r="I86" s="8" t="str">
        <x:v>Recogida por la tarde, si es posible.</x:v>
      </x:c>
      <x:c r="J86" s="10" t="n">
        <x:v>45833.375</x:v>
      </x:c>
      <x:c r="K86" s="8" t="str">
        <x:f>IF(COUNTIF('Usuarios'!$A$2:$A$61,B86)=1,"OK","ERROR")</x:f>
        <x:v>OK</x:v>
      </x:c>
      <x:c r="L86" s="8" t="str">
        <x:f>IF(COUNTIF('Objetos'!$A$2:$A$181,C86)=1,"OK","ERROR")</x:f>
        <x:v>OK</x:v>
      </x:c>
      <x:c r="M86" s="8" t="str">
        <x:f>IF(COUNTIF('Centros'!$A$2:$A$13,D86)=1,"OK","ERROR")</x:f>
        <x:v>OK</x:v>
      </x:c>
      <x:c r="N86" s="8" t="str">
        <x:f>IF(AND(G86&gt;F86,G86-F86&lt;=INDEX('Objetos'!$J$2:$J$181,MATCH(C86,'Objetos'!$A$2:$A$181,0))),"OK","ERROR")</x:f>
        <x:v>OK</x:v>
      </x:c>
    </x:row>
    <x:row r="87">
      <x:c r="A87" s="8" t="str">
        <x:v>RSV-000086</x:v>
      </x:c>
      <x:c r="B87" s="8" t="str">
        <x:v>USR-0056</x:v>
      </x:c>
      <x:c r="C87" s="8" t="str">
        <x:v>ITM-000086</x:v>
      </x:c>
      <x:c r="D87" s="8" t="str">
        <x:v>HUB-MAD-002</x:v>
      </x:c>
      <x:c r="E87" s="10" t="n">
        <x:v>45829.375</x:v>
      </x:c>
      <x:c r="F87" s="10" t="n">
        <x:v>45833.375</x:v>
      </x:c>
      <x:c r="G87" s="10" t="n">
        <x:v>45836.375</x:v>
      </x:c>
      <x:c r="H87" s="8" t="str">
        <x:v>returned</x:v>
      </x:c>
      <x:c r="I87" s="8" t="str"/>
      <x:c r="J87" s="10" t="n">
        <x:v>45836.375</x:v>
      </x:c>
      <x:c r="K87" s="8" t="str">
        <x:f>IF(COUNTIF('Usuarios'!$A$2:$A$61,B87)=1,"OK","ERROR")</x:f>
        <x:v>OK</x:v>
      </x:c>
      <x:c r="L87" s="8" t="str">
        <x:f>IF(COUNTIF('Objetos'!$A$2:$A$181,C87)=1,"OK","ERROR")</x:f>
        <x:v>OK</x:v>
      </x:c>
      <x:c r="M87" s="8" t="str">
        <x:f>IF(COUNTIF('Centros'!$A$2:$A$13,D87)=1,"OK","ERROR")</x:f>
        <x:v>OK</x:v>
      </x:c>
      <x:c r="N87" s="8" t="str">
        <x:f>IF(AND(G87&gt;F87,G87-F87&lt;=INDEX('Objetos'!$J$2:$J$181,MATCH(C87,'Objetos'!$A$2:$A$181,0))),"OK","ERROR")</x:f>
        <x:v>OK</x:v>
      </x:c>
    </x:row>
    <x:row r="88">
      <x:c r="A88" s="8" t="str">
        <x:v>RSV-000087</x:v>
      </x:c>
      <x:c r="B88" s="8" t="str">
        <x:v>USR-0003</x:v>
      </x:c>
      <x:c r="C88" s="8" t="str">
        <x:v>ITM-000087</x:v>
      </x:c>
      <x:c r="D88" s="8" t="str">
        <x:v>HUB-MAD-003</x:v>
      </x:c>
      <x:c r="E88" s="10" t="n">
        <x:v>45831.375</x:v>
      </x:c>
      <x:c r="F88" s="10" t="n">
        <x:v>45835.375</x:v>
      </x:c>
      <x:c r="G88" s="10" t="n">
        <x:v>45839.375</x:v>
      </x:c>
      <x:c r="H88" s="8" t="str">
        <x:v>returned</x:v>
      </x:c>
      <x:c r="I88" s="8" t="str"/>
      <x:c r="J88" s="10" t="n">
        <x:v>45839.375</x:v>
      </x:c>
      <x:c r="K88" s="8" t="str">
        <x:f>IF(COUNTIF('Usuarios'!$A$2:$A$61,B88)=1,"OK","ERROR")</x:f>
        <x:v>OK</x:v>
      </x:c>
      <x:c r="L88" s="8" t="str">
        <x:f>IF(COUNTIF('Objetos'!$A$2:$A$181,C88)=1,"OK","ERROR")</x:f>
        <x:v>OK</x:v>
      </x:c>
      <x:c r="M88" s="8" t="str">
        <x:f>IF(COUNTIF('Centros'!$A$2:$A$13,D88)=1,"OK","ERROR")</x:f>
        <x:v>OK</x:v>
      </x:c>
      <x:c r="N88" s="8" t="str">
        <x:f>IF(AND(G88&gt;F88,G88-F88&lt;=INDEX('Objetos'!$J$2:$J$181,MATCH(C88,'Objetos'!$A$2:$A$181,0))),"OK","ERROR")</x:f>
        <x:v>OK</x:v>
      </x:c>
    </x:row>
    <x:row r="89">
      <x:c r="A89" s="8" t="str">
        <x:v>RSV-000088</x:v>
      </x:c>
      <x:c r="B89" s="8" t="str">
        <x:v>USR-0010</x:v>
      </x:c>
      <x:c r="C89" s="8" t="str">
        <x:v>ITM-000088</x:v>
      </x:c>
      <x:c r="D89" s="8" t="str">
        <x:v>HUB-MAD-004</x:v>
      </x:c>
      <x:c r="E89" s="10" t="n">
        <x:v>45833.375</x:v>
      </x:c>
      <x:c r="F89" s="10" t="n">
        <x:v>45837.375</x:v>
      </x:c>
      <x:c r="G89" s="10" t="n">
        <x:v>45839.375</x:v>
      </x:c>
      <x:c r="H89" s="8" t="str">
        <x:v>returned</x:v>
      </x:c>
      <x:c r="I89" s="8" t="str"/>
      <x:c r="J89" s="10" t="n">
        <x:v>45839.375</x:v>
      </x:c>
      <x:c r="K89" s="8" t="str">
        <x:f>IF(COUNTIF('Usuarios'!$A$2:$A$61,B89)=1,"OK","ERROR")</x:f>
        <x:v>OK</x:v>
      </x:c>
      <x:c r="L89" s="8" t="str">
        <x:f>IF(COUNTIF('Objetos'!$A$2:$A$181,C89)=1,"OK","ERROR")</x:f>
        <x:v>OK</x:v>
      </x:c>
      <x:c r="M89" s="8" t="str">
        <x:f>IF(COUNTIF('Centros'!$A$2:$A$13,D89)=1,"OK","ERROR")</x:f>
        <x:v>OK</x:v>
      </x:c>
      <x:c r="N89" s="8" t="str">
        <x:f>IF(AND(G89&gt;F89,G89-F89&lt;=INDEX('Objetos'!$J$2:$J$181,MATCH(C89,'Objetos'!$A$2:$A$181,0))),"OK","ERROR")</x:f>
        <x:v>OK</x:v>
      </x:c>
    </x:row>
    <x:row r="90">
      <x:c r="A90" s="8" t="str">
        <x:v>RSV-000089</x:v>
      </x:c>
      <x:c r="B90" s="8" t="str">
        <x:v>USR-0017</x:v>
      </x:c>
      <x:c r="C90" s="8" t="str">
        <x:v>ITM-000089</x:v>
      </x:c>
      <x:c r="D90" s="8" t="str">
        <x:v>HUB-MAD-005</x:v>
      </x:c>
      <x:c r="E90" s="10" t="n">
        <x:v>45835.375</x:v>
      </x:c>
      <x:c r="F90" s="10" t="n">
        <x:v>45839.375</x:v>
      </x:c>
      <x:c r="G90" s="10" t="n">
        <x:v>45842.375</x:v>
      </x:c>
      <x:c r="H90" s="8" t="str">
        <x:v>returned</x:v>
      </x:c>
      <x:c r="I90" s="8" t="str">
        <x:v>Recogida por la tarde, si es posible.</x:v>
      </x:c>
      <x:c r="J90" s="10" t="n">
        <x:v>45842.375</x:v>
      </x:c>
      <x:c r="K90" s="8" t="str">
        <x:f>IF(COUNTIF('Usuarios'!$A$2:$A$61,B90)=1,"OK","ERROR")</x:f>
        <x:v>OK</x:v>
      </x:c>
      <x:c r="L90" s="8" t="str">
        <x:f>IF(COUNTIF('Objetos'!$A$2:$A$181,C90)=1,"OK","ERROR")</x:f>
        <x:v>OK</x:v>
      </x:c>
      <x:c r="M90" s="8" t="str">
        <x:f>IF(COUNTIF('Centros'!$A$2:$A$13,D90)=1,"OK","ERROR")</x:f>
        <x:v>OK</x:v>
      </x:c>
      <x:c r="N90" s="8" t="str">
        <x:f>IF(AND(G90&gt;F90,G90-F90&lt;=INDEX('Objetos'!$J$2:$J$181,MATCH(C90,'Objetos'!$A$2:$A$181,0))),"OK","ERROR")</x:f>
        <x:v>OK</x:v>
      </x:c>
    </x:row>
    <x:row r="91">
      <x:c r="A91" s="8" t="str">
        <x:v>RSV-000090</x:v>
      </x:c>
      <x:c r="B91" s="8" t="str">
        <x:v>USR-0024</x:v>
      </x:c>
      <x:c r="C91" s="8" t="str">
        <x:v>ITM-000090</x:v>
      </x:c>
      <x:c r="D91" s="8" t="str">
        <x:v>HUB-MAD-006</x:v>
      </x:c>
      <x:c r="E91" s="10" t="n">
        <x:v>45837.375</x:v>
      </x:c>
      <x:c r="F91" s="10" t="n">
        <x:v>45841.375</x:v>
      </x:c>
      <x:c r="G91" s="10" t="n">
        <x:v>45845.375</x:v>
      </x:c>
      <x:c r="H91" s="8" t="str">
        <x:v>returned</x:v>
      </x:c>
      <x:c r="I91" s="8" t="str"/>
      <x:c r="J91" s="10" t="n">
        <x:v>45845.375</x:v>
      </x:c>
      <x:c r="K91" s="8" t="str">
        <x:f>IF(COUNTIF('Usuarios'!$A$2:$A$61,B91)=1,"OK","ERROR")</x:f>
        <x:v>OK</x:v>
      </x:c>
      <x:c r="L91" s="8" t="str">
        <x:f>IF(COUNTIF('Objetos'!$A$2:$A$181,C91)=1,"OK","ERROR")</x:f>
        <x:v>OK</x:v>
      </x:c>
      <x:c r="M91" s="8" t="str">
        <x:f>IF(COUNTIF('Centros'!$A$2:$A$13,D91)=1,"OK","ERROR")</x:f>
        <x:v>OK</x:v>
      </x:c>
      <x:c r="N91" s="8" t="str">
        <x:f>IF(AND(G91&gt;F91,G91-F91&lt;=INDEX('Objetos'!$J$2:$J$181,MATCH(C91,'Objetos'!$A$2:$A$181,0))),"OK","ERROR")</x:f>
        <x:v>OK</x:v>
      </x:c>
    </x:row>
    <x:row r="92">
      <x:c r="A92" s="8" t="str">
        <x:v>RSV-000091</x:v>
      </x:c>
      <x:c r="B92" s="8" t="str">
        <x:v>USR-0031</x:v>
      </x:c>
      <x:c r="C92" s="8" t="str">
        <x:v>ITM-000091</x:v>
      </x:c>
      <x:c r="D92" s="8" t="str">
        <x:v>HUB-MAD-007</x:v>
      </x:c>
      <x:c r="E92" s="10" t="n">
        <x:v>45839.375</x:v>
      </x:c>
      <x:c r="F92" s="10" t="n">
        <x:v>45843.375</x:v>
      </x:c>
      <x:c r="G92" s="10" t="n">
        <x:v>45845.375</x:v>
      </x:c>
      <x:c r="H92" s="8" t="str">
        <x:v>returned</x:v>
      </x:c>
      <x:c r="I92" s="8" t="str"/>
      <x:c r="J92" s="10" t="n">
        <x:v>45845.375</x:v>
      </x:c>
      <x:c r="K92" s="8" t="str">
        <x:f>IF(COUNTIF('Usuarios'!$A$2:$A$61,B92)=1,"OK","ERROR")</x:f>
        <x:v>OK</x:v>
      </x:c>
      <x:c r="L92" s="8" t="str">
        <x:f>IF(COUNTIF('Objetos'!$A$2:$A$181,C92)=1,"OK","ERROR")</x:f>
        <x:v>OK</x:v>
      </x:c>
      <x:c r="M92" s="8" t="str">
        <x:f>IF(COUNTIF('Centros'!$A$2:$A$13,D92)=1,"OK","ERROR")</x:f>
        <x:v>OK</x:v>
      </x:c>
      <x:c r="N92" s="8" t="str">
        <x:f>IF(AND(G92&gt;F92,G92-F92&lt;=INDEX('Objetos'!$J$2:$J$181,MATCH(C92,'Objetos'!$A$2:$A$181,0))),"OK","ERROR")</x:f>
        <x:v>OK</x:v>
      </x:c>
    </x:row>
    <x:row r="93">
      <x:c r="A93" s="8" t="str">
        <x:v>RSV-000092</x:v>
      </x:c>
      <x:c r="B93" s="8" t="str">
        <x:v>USR-0038</x:v>
      </x:c>
      <x:c r="C93" s="8" t="str">
        <x:v>ITM-000092</x:v>
      </x:c>
      <x:c r="D93" s="8" t="str">
        <x:v>HUB-MAD-008</x:v>
      </x:c>
      <x:c r="E93" s="10" t="n">
        <x:v>45841.375</x:v>
      </x:c>
      <x:c r="F93" s="10" t="n">
        <x:v>45845.375</x:v>
      </x:c>
      <x:c r="G93" s="10" t="n">
        <x:v>45848.375</x:v>
      </x:c>
      <x:c r="H93" s="8" t="str">
        <x:v>returned</x:v>
      </x:c>
      <x:c r="I93" s="8" t="str"/>
      <x:c r="J93" s="10" t="n">
        <x:v>45848.375</x:v>
      </x:c>
      <x:c r="K93" s="8" t="str">
        <x:f>IF(COUNTIF('Usuarios'!$A$2:$A$61,B93)=1,"OK","ERROR")</x:f>
        <x:v>OK</x:v>
      </x:c>
      <x:c r="L93" s="8" t="str">
        <x:f>IF(COUNTIF('Objetos'!$A$2:$A$181,C93)=1,"OK","ERROR")</x:f>
        <x:v>OK</x:v>
      </x:c>
      <x:c r="M93" s="8" t="str">
        <x:f>IF(COUNTIF('Centros'!$A$2:$A$13,D93)=1,"OK","ERROR")</x:f>
        <x:v>OK</x:v>
      </x:c>
      <x:c r="N93" s="8" t="str">
        <x:f>IF(AND(G93&gt;F93,G93-F93&lt;=INDEX('Objetos'!$J$2:$J$181,MATCH(C93,'Objetos'!$A$2:$A$181,0))),"OK","ERROR")</x:f>
        <x:v>OK</x:v>
      </x:c>
    </x:row>
    <x:row r="94">
      <x:c r="A94" s="8" t="str">
        <x:v>RSV-000093</x:v>
      </x:c>
      <x:c r="B94" s="8" t="str">
        <x:v>USR-0045</x:v>
      </x:c>
      <x:c r="C94" s="8" t="str">
        <x:v>ITM-000093</x:v>
      </x:c>
      <x:c r="D94" s="8" t="str">
        <x:v>HUB-MAD-009</x:v>
      </x:c>
      <x:c r="E94" s="10" t="n">
        <x:v>45843.375</x:v>
      </x:c>
      <x:c r="F94" s="10" t="n">
        <x:v>45847.375</x:v>
      </x:c>
      <x:c r="G94" s="10" t="n">
        <x:v>45851.375</x:v>
      </x:c>
      <x:c r="H94" s="8" t="str">
        <x:v>returned</x:v>
      </x:c>
      <x:c r="I94" s="8" t="str">
        <x:v>Recogida por la tarde, si es posible.</x:v>
      </x:c>
      <x:c r="J94" s="10" t="n">
        <x:v>45851.375</x:v>
      </x:c>
      <x:c r="K94" s="8" t="str">
        <x:f>IF(COUNTIF('Usuarios'!$A$2:$A$61,B94)=1,"OK","ERROR")</x:f>
        <x:v>OK</x:v>
      </x:c>
      <x:c r="L94" s="8" t="str">
        <x:f>IF(COUNTIF('Objetos'!$A$2:$A$181,C94)=1,"OK","ERROR")</x:f>
        <x:v>OK</x:v>
      </x:c>
      <x:c r="M94" s="8" t="str">
        <x:f>IF(COUNTIF('Centros'!$A$2:$A$13,D94)=1,"OK","ERROR")</x:f>
        <x:v>OK</x:v>
      </x:c>
      <x:c r="N94" s="8" t="str">
        <x:f>IF(AND(G94&gt;F94,G94-F94&lt;=INDEX('Objetos'!$J$2:$J$181,MATCH(C94,'Objetos'!$A$2:$A$181,0))),"OK","ERROR")</x:f>
        <x:v>OK</x:v>
      </x:c>
    </x:row>
    <x:row r="95">
      <x:c r="A95" s="8" t="str">
        <x:v>RSV-000094</x:v>
      </x:c>
      <x:c r="B95" s="8" t="str">
        <x:v>USR-0052</x:v>
      </x:c>
      <x:c r="C95" s="8" t="str">
        <x:v>ITM-000094</x:v>
      </x:c>
      <x:c r="D95" s="8" t="str">
        <x:v>HUB-MAD-010</x:v>
      </x:c>
      <x:c r="E95" s="10" t="n">
        <x:v>45845.375</x:v>
      </x:c>
      <x:c r="F95" s="10" t="n">
        <x:v>45849.375</x:v>
      </x:c>
      <x:c r="G95" s="10" t="n">
        <x:v>45851.375</x:v>
      </x:c>
      <x:c r="H95" s="8" t="str">
        <x:v>returned</x:v>
      </x:c>
      <x:c r="I95" s="8" t="str"/>
      <x:c r="J95" s="10" t="n">
        <x:v>45851.375</x:v>
      </x:c>
      <x:c r="K95" s="8" t="str">
        <x:f>IF(COUNTIF('Usuarios'!$A$2:$A$61,B95)=1,"OK","ERROR")</x:f>
        <x:v>OK</x:v>
      </x:c>
      <x:c r="L95" s="8" t="str">
        <x:f>IF(COUNTIF('Objetos'!$A$2:$A$181,C95)=1,"OK","ERROR")</x:f>
        <x:v>OK</x:v>
      </x:c>
      <x:c r="M95" s="8" t="str">
        <x:f>IF(COUNTIF('Centros'!$A$2:$A$13,D95)=1,"OK","ERROR")</x:f>
        <x:v>OK</x:v>
      </x:c>
      <x:c r="N95" s="8" t="str">
        <x:f>IF(AND(G95&gt;F95,G95-F95&lt;=INDEX('Objetos'!$J$2:$J$181,MATCH(C95,'Objetos'!$A$2:$A$181,0))),"OK","ERROR")</x:f>
        <x:v>OK</x:v>
      </x:c>
    </x:row>
    <x:row r="96">
      <x:c r="A96" s="8" t="str">
        <x:v>RSV-000095</x:v>
      </x:c>
      <x:c r="B96" s="8" t="str">
        <x:v>USR-0059</x:v>
      </x:c>
      <x:c r="C96" s="8" t="str">
        <x:v>ITM-000095</x:v>
      </x:c>
      <x:c r="D96" s="8" t="str">
        <x:v>HUB-MAD-011</x:v>
      </x:c>
      <x:c r="E96" s="10" t="n">
        <x:v>45847.375</x:v>
      </x:c>
      <x:c r="F96" s="10" t="n">
        <x:v>45851.375</x:v>
      </x:c>
      <x:c r="G96" s="10" t="n">
        <x:v>45854.375</x:v>
      </x:c>
      <x:c r="H96" s="8" t="str">
        <x:v>returned</x:v>
      </x:c>
      <x:c r="I96" s="8" t="str"/>
      <x:c r="J96" s="10" t="n">
        <x:v>45854.375</x:v>
      </x:c>
      <x:c r="K96" s="8" t="str">
        <x:f>IF(COUNTIF('Usuarios'!$A$2:$A$61,B96)=1,"OK","ERROR")</x:f>
        <x:v>OK</x:v>
      </x:c>
      <x:c r="L96" s="8" t="str">
        <x:f>IF(COUNTIF('Objetos'!$A$2:$A$181,C96)=1,"OK","ERROR")</x:f>
        <x:v>OK</x:v>
      </x:c>
      <x:c r="M96" s="8" t="str">
        <x:f>IF(COUNTIF('Centros'!$A$2:$A$13,D96)=1,"OK","ERROR")</x:f>
        <x:v>OK</x:v>
      </x:c>
      <x:c r="N96" s="8" t="str">
        <x:f>IF(AND(G96&gt;F96,G96-F96&lt;=INDEX('Objetos'!$J$2:$J$181,MATCH(C96,'Objetos'!$A$2:$A$181,0))),"OK","ERROR")</x:f>
        <x:v>OK</x:v>
      </x:c>
    </x:row>
    <x:row r="97">
      <x:c r="A97" s="8" t="str">
        <x:v>RSV-000096</x:v>
      </x:c>
      <x:c r="B97" s="8" t="str">
        <x:v>USR-0006</x:v>
      </x:c>
      <x:c r="C97" s="8" t="str">
        <x:v>ITM-000096</x:v>
      </x:c>
      <x:c r="D97" s="8" t="str">
        <x:v>HUB-MAD-012</x:v>
      </x:c>
      <x:c r="E97" s="10" t="n">
        <x:v>45849.375</x:v>
      </x:c>
      <x:c r="F97" s="10" t="n">
        <x:v>45853.375</x:v>
      </x:c>
      <x:c r="G97" s="10" t="n">
        <x:v>45856.375</x:v>
      </x:c>
      <x:c r="H97" s="8" t="str">
        <x:v>returned</x:v>
      </x:c>
      <x:c r="I97" s="8" t="str"/>
      <x:c r="J97" s="10" t="n">
        <x:v>45856.375</x:v>
      </x:c>
      <x:c r="K97" s="8" t="str">
        <x:f>IF(COUNTIF('Usuarios'!$A$2:$A$61,B97)=1,"OK","ERROR")</x:f>
        <x:v>OK</x:v>
      </x:c>
      <x:c r="L97" s="8" t="str">
        <x:f>IF(COUNTIF('Objetos'!$A$2:$A$181,C97)=1,"OK","ERROR")</x:f>
        <x:v>OK</x:v>
      </x:c>
      <x:c r="M97" s="8" t="str">
        <x:f>IF(COUNTIF('Centros'!$A$2:$A$13,D97)=1,"OK","ERROR")</x:f>
        <x:v>OK</x:v>
      </x:c>
      <x:c r="N97" s="8" t="str">
        <x:f>IF(AND(G97&gt;F97,G97-F97&lt;=INDEX('Objetos'!$J$2:$J$181,MATCH(C97,'Objetos'!$A$2:$A$181,0))),"OK","ERROR")</x:f>
        <x:v>OK</x:v>
      </x:c>
    </x:row>
    <x:row r="98">
      <x:c r="A98" s="8" t="str">
        <x:v>RSV-000097</x:v>
      </x:c>
      <x:c r="B98" s="8" t="str">
        <x:v>USR-0013</x:v>
      </x:c>
      <x:c r="C98" s="8" t="str">
        <x:v>ITM-000097</x:v>
      </x:c>
      <x:c r="D98" s="8" t="str">
        <x:v>HUB-MAD-001</x:v>
      </x:c>
      <x:c r="E98" s="10" t="n">
        <x:v>45851.375</x:v>
      </x:c>
      <x:c r="F98" s="10" t="n">
        <x:v>45855.375</x:v>
      </x:c>
      <x:c r="G98" s="10" t="n">
        <x:v>45857.375</x:v>
      </x:c>
      <x:c r="H98" s="8" t="str">
        <x:v>returned</x:v>
      </x:c>
      <x:c r="I98" s="8" t="str">
        <x:v>Recogida por la tarde, si es posible.</x:v>
      </x:c>
      <x:c r="J98" s="10" t="n">
        <x:v>45857.375</x:v>
      </x:c>
      <x:c r="K98" s="8" t="str">
        <x:f>IF(COUNTIF('Usuarios'!$A$2:$A$61,B98)=1,"OK","ERROR")</x:f>
        <x:v>OK</x:v>
      </x:c>
      <x:c r="L98" s="8" t="str">
        <x:f>IF(COUNTIF('Objetos'!$A$2:$A$181,C98)=1,"OK","ERROR")</x:f>
        <x:v>OK</x:v>
      </x:c>
      <x:c r="M98" s="8" t="str">
        <x:f>IF(COUNTIF('Centros'!$A$2:$A$13,D98)=1,"OK","ERROR")</x:f>
        <x:v>OK</x:v>
      </x:c>
      <x:c r="N98" s="8" t="str">
        <x:f>IF(AND(G98&gt;F98,G98-F98&lt;=INDEX('Objetos'!$J$2:$J$181,MATCH(C98,'Objetos'!$A$2:$A$181,0))),"OK","ERROR")</x:f>
        <x:v>OK</x:v>
      </x:c>
    </x:row>
    <x:row r="99">
      <x:c r="A99" s="8" t="str">
        <x:v>RSV-000098</x:v>
      </x:c>
      <x:c r="B99" s="8" t="str">
        <x:v>USR-0020</x:v>
      </x:c>
      <x:c r="C99" s="8" t="str">
        <x:v>ITM-000098</x:v>
      </x:c>
      <x:c r="D99" s="8" t="str">
        <x:v>HUB-MAD-002</x:v>
      </x:c>
      <x:c r="E99" s="10" t="n">
        <x:v>45853.375</x:v>
      </x:c>
      <x:c r="F99" s="10" t="n">
        <x:v>45857.375</x:v>
      </x:c>
      <x:c r="G99" s="10" t="n">
        <x:v>45860.375</x:v>
      </x:c>
      <x:c r="H99" s="8" t="str">
        <x:v>returned</x:v>
      </x:c>
      <x:c r="I99" s="8" t="str"/>
      <x:c r="J99" s="10" t="n">
        <x:v>45860.375</x:v>
      </x:c>
      <x:c r="K99" s="8" t="str">
        <x:f>IF(COUNTIF('Usuarios'!$A$2:$A$61,B99)=1,"OK","ERROR")</x:f>
        <x:v>OK</x:v>
      </x:c>
      <x:c r="L99" s="8" t="str">
        <x:f>IF(COUNTIF('Objetos'!$A$2:$A$181,C99)=1,"OK","ERROR")</x:f>
        <x:v>OK</x:v>
      </x:c>
      <x:c r="M99" s="8" t="str">
        <x:f>IF(COUNTIF('Centros'!$A$2:$A$13,D99)=1,"OK","ERROR")</x:f>
        <x:v>OK</x:v>
      </x:c>
      <x:c r="N99" s="8" t="str">
        <x:f>IF(AND(G99&gt;F99,G99-F99&lt;=INDEX('Objetos'!$J$2:$J$181,MATCH(C99,'Objetos'!$A$2:$A$181,0))),"OK","ERROR")</x:f>
        <x:v>OK</x:v>
      </x:c>
    </x:row>
    <x:row r="100">
      <x:c r="A100" s="8" t="str">
        <x:v>RSV-000099</x:v>
      </x:c>
      <x:c r="B100" s="8" t="str">
        <x:v>USR-0027</x:v>
      </x:c>
      <x:c r="C100" s="8" t="str">
        <x:v>ITM-000099</x:v>
      </x:c>
      <x:c r="D100" s="8" t="str">
        <x:v>HUB-MAD-003</x:v>
      </x:c>
      <x:c r="E100" s="10" t="n">
        <x:v>45855.375</x:v>
      </x:c>
      <x:c r="F100" s="10" t="n">
        <x:v>45859.375</x:v>
      </x:c>
      <x:c r="G100" s="10" t="n">
        <x:v>45863.375</x:v>
      </x:c>
      <x:c r="H100" s="8" t="str">
        <x:v>returned</x:v>
      </x:c>
      <x:c r="I100" s="8" t="str"/>
      <x:c r="J100" s="10" t="n">
        <x:v>45863.375</x:v>
      </x:c>
      <x:c r="K100" s="8" t="str">
        <x:f>IF(COUNTIF('Usuarios'!$A$2:$A$61,B100)=1,"OK","ERROR")</x:f>
        <x:v>OK</x:v>
      </x:c>
      <x:c r="L100" s="8" t="str">
        <x:f>IF(COUNTIF('Objetos'!$A$2:$A$181,C100)=1,"OK","ERROR")</x:f>
        <x:v>OK</x:v>
      </x:c>
      <x:c r="M100" s="8" t="str">
        <x:f>IF(COUNTIF('Centros'!$A$2:$A$13,D100)=1,"OK","ERROR")</x:f>
        <x:v>OK</x:v>
      </x:c>
      <x:c r="N100" s="8" t="str">
        <x:f>IF(AND(G100&gt;F100,G100-F100&lt;=INDEX('Objetos'!$J$2:$J$181,MATCH(C100,'Objetos'!$A$2:$A$181,0))),"OK","ERROR")</x:f>
        <x:v>OK</x:v>
      </x:c>
    </x:row>
    <x:row r="101">
      <x:c r="A101" s="8" t="str">
        <x:v>RSV-000100</x:v>
      </x:c>
      <x:c r="B101" s="8" t="str">
        <x:v>USR-0034</x:v>
      </x:c>
      <x:c r="C101" s="8" t="str">
        <x:v>ITM-000100</x:v>
      </x:c>
      <x:c r="D101" s="8" t="str">
        <x:v>HUB-MAD-004</x:v>
      </x:c>
      <x:c r="E101" s="10" t="n">
        <x:v>45857.375</x:v>
      </x:c>
      <x:c r="F101" s="10" t="n">
        <x:v>45861.375</x:v>
      </x:c>
      <x:c r="G101" s="10" t="n">
        <x:v>45863.375</x:v>
      </x:c>
      <x:c r="H101" s="8" t="str">
        <x:v>returned</x:v>
      </x:c>
      <x:c r="I101" s="8" t="str"/>
      <x:c r="J101" s="10" t="n">
        <x:v>45863.375</x:v>
      </x:c>
      <x:c r="K101" s="8" t="str">
        <x:f>IF(COUNTIF('Usuarios'!$A$2:$A$61,B101)=1,"OK","ERROR")</x:f>
        <x:v>OK</x:v>
      </x:c>
      <x:c r="L101" s="8" t="str">
        <x:f>IF(COUNTIF('Objetos'!$A$2:$A$181,C101)=1,"OK","ERROR")</x:f>
        <x:v>OK</x:v>
      </x:c>
      <x:c r="M101" s="8" t="str">
        <x:f>IF(COUNTIF('Centros'!$A$2:$A$13,D101)=1,"OK","ERROR")</x:f>
        <x:v>OK</x:v>
      </x:c>
      <x:c r="N101" s="8" t="str">
        <x:f>IF(AND(G101&gt;F101,G101-F101&lt;=INDEX('Objetos'!$J$2:$J$181,MATCH(C101,'Objetos'!$A$2:$A$181,0))),"OK","ERROR")</x:f>
        <x:v>OK</x:v>
      </x:c>
    </x:row>
    <x:row r="102">
      <x:c r="A102" s="8" t="str">
        <x:v>RSV-000101</x:v>
      </x:c>
      <x:c r="B102" s="8" t="str">
        <x:v>USR-0041</x:v>
      </x:c>
      <x:c r="C102" s="8" t="str">
        <x:v>ITM-000101</x:v>
      </x:c>
      <x:c r="D102" s="8" t="str">
        <x:v>HUB-MAD-005</x:v>
      </x:c>
      <x:c r="E102" s="10" t="n">
        <x:v>45859.375</x:v>
      </x:c>
      <x:c r="F102" s="10" t="n">
        <x:v>45863.375</x:v>
      </x:c>
      <x:c r="G102" s="10" t="n">
        <x:v>45866.375</x:v>
      </x:c>
      <x:c r="H102" s="8" t="str">
        <x:v>returned</x:v>
      </x:c>
      <x:c r="I102" s="8" t="str">
        <x:v>Recogida por la tarde, si es posible.</x:v>
      </x:c>
      <x:c r="J102" s="10" t="n">
        <x:v>45866.375</x:v>
      </x:c>
      <x:c r="K102" s="8" t="str">
        <x:f>IF(COUNTIF('Usuarios'!$A$2:$A$61,B102)=1,"OK","ERROR")</x:f>
        <x:v>OK</x:v>
      </x:c>
      <x:c r="L102" s="8" t="str">
        <x:f>IF(COUNTIF('Objetos'!$A$2:$A$181,C102)=1,"OK","ERROR")</x:f>
        <x:v>OK</x:v>
      </x:c>
      <x:c r="M102" s="8" t="str">
        <x:f>IF(COUNTIF('Centros'!$A$2:$A$13,D102)=1,"OK","ERROR")</x:f>
        <x:v>OK</x:v>
      </x:c>
      <x:c r="N102" s="8" t="str">
        <x:f>IF(AND(G102&gt;F102,G102-F102&lt;=INDEX('Objetos'!$J$2:$J$181,MATCH(C102,'Objetos'!$A$2:$A$181,0))),"OK","ERROR")</x:f>
        <x:v>OK</x:v>
      </x:c>
    </x:row>
    <x:row r="103">
      <x:c r="A103" s="8" t="str">
        <x:v>RSV-000102</x:v>
      </x:c>
      <x:c r="B103" s="8" t="str">
        <x:v>USR-0048</x:v>
      </x:c>
      <x:c r="C103" s="8" t="str">
        <x:v>ITM-000102</x:v>
      </x:c>
      <x:c r="D103" s="8" t="str">
        <x:v>HUB-MAD-006</x:v>
      </x:c>
      <x:c r="E103" s="10" t="n">
        <x:v>45861.375</x:v>
      </x:c>
      <x:c r="F103" s="10" t="n">
        <x:v>45865.375</x:v>
      </x:c>
      <x:c r="G103" s="10" t="n">
        <x:v>45869.375</x:v>
      </x:c>
      <x:c r="H103" s="8" t="str">
        <x:v>returned</x:v>
      </x:c>
      <x:c r="I103" s="8" t="str"/>
      <x:c r="J103" s="10" t="n">
        <x:v>45869.375</x:v>
      </x:c>
      <x:c r="K103" s="8" t="str">
        <x:f>IF(COUNTIF('Usuarios'!$A$2:$A$61,B103)=1,"OK","ERROR")</x:f>
        <x:v>OK</x:v>
      </x:c>
      <x:c r="L103" s="8" t="str">
        <x:f>IF(COUNTIF('Objetos'!$A$2:$A$181,C103)=1,"OK","ERROR")</x:f>
        <x:v>OK</x:v>
      </x:c>
      <x:c r="M103" s="8" t="str">
        <x:f>IF(COUNTIF('Centros'!$A$2:$A$13,D103)=1,"OK","ERROR")</x:f>
        <x:v>OK</x:v>
      </x:c>
      <x:c r="N103" s="8" t="str">
        <x:f>IF(AND(G103&gt;F103,G103-F103&lt;=INDEX('Objetos'!$J$2:$J$181,MATCH(C103,'Objetos'!$A$2:$A$181,0))),"OK","ERROR")</x:f>
        <x:v>OK</x:v>
      </x:c>
    </x:row>
    <x:row r="104">
      <x:c r="A104" s="8" t="str">
        <x:v>RSV-000103</x:v>
      </x:c>
      <x:c r="B104" s="8" t="str">
        <x:v>USR-0055</x:v>
      </x:c>
      <x:c r="C104" s="8" t="str">
        <x:v>ITM-000103</x:v>
      </x:c>
      <x:c r="D104" s="8" t="str">
        <x:v>HUB-MAD-007</x:v>
      </x:c>
      <x:c r="E104" s="10" t="n">
        <x:v>45863.375</x:v>
      </x:c>
      <x:c r="F104" s="10" t="n">
        <x:v>45867.375</x:v>
      </x:c>
      <x:c r="G104" s="10" t="n">
        <x:v>45869.375</x:v>
      </x:c>
      <x:c r="H104" s="8" t="str">
        <x:v>returned</x:v>
      </x:c>
      <x:c r="I104" s="8" t="str"/>
      <x:c r="J104" s="10" t="n">
        <x:v>45869.375</x:v>
      </x:c>
      <x:c r="K104" s="8" t="str">
        <x:f>IF(COUNTIF('Usuarios'!$A$2:$A$61,B104)=1,"OK","ERROR")</x:f>
        <x:v>OK</x:v>
      </x:c>
      <x:c r="L104" s="8" t="str">
        <x:f>IF(COUNTIF('Objetos'!$A$2:$A$181,C104)=1,"OK","ERROR")</x:f>
        <x:v>OK</x:v>
      </x:c>
      <x:c r="M104" s="8" t="str">
        <x:f>IF(COUNTIF('Centros'!$A$2:$A$13,D104)=1,"OK","ERROR")</x:f>
        <x:v>OK</x:v>
      </x:c>
      <x:c r="N104" s="8" t="str">
        <x:f>IF(AND(G104&gt;F104,G104-F104&lt;=INDEX('Objetos'!$J$2:$J$181,MATCH(C104,'Objetos'!$A$2:$A$181,0))),"OK","ERROR")</x:f>
        <x:v>OK</x:v>
      </x:c>
    </x:row>
    <x:row r="105">
      <x:c r="A105" s="8" t="str">
        <x:v>RSV-000104</x:v>
      </x:c>
      <x:c r="B105" s="8" t="str">
        <x:v>USR-0002</x:v>
      </x:c>
      <x:c r="C105" s="8" t="str">
        <x:v>ITM-000104</x:v>
      </x:c>
      <x:c r="D105" s="8" t="str">
        <x:v>HUB-MAD-008</x:v>
      </x:c>
      <x:c r="E105" s="10" t="n">
        <x:v>45865.375</x:v>
      </x:c>
      <x:c r="F105" s="10" t="n">
        <x:v>45869.375</x:v>
      </x:c>
      <x:c r="G105" s="10" t="n">
        <x:v>45872.375</x:v>
      </x:c>
      <x:c r="H105" s="8" t="str">
        <x:v>returned</x:v>
      </x:c>
      <x:c r="I105" s="8" t="str"/>
      <x:c r="J105" s="10" t="n">
        <x:v>45872.375</x:v>
      </x:c>
      <x:c r="K105" s="8" t="str">
        <x:f>IF(COUNTIF('Usuarios'!$A$2:$A$61,B105)=1,"OK","ERROR")</x:f>
        <x:v>OK</x:v>
      </x:c>
      <x:c r="L105" s="8" t="str">
        <x:f>IF(COUNTIF('Objetos'!$A$2:$A$181,C105)=1,"OK","ERROR")</x:f>
        <x:v>OK</x:v>
      </x:c>
      <x:c r="M105" s="8" t="str">
        <x:f>IF(COUNTIF('Centros'!$A$2:$A$13,D105)=1,"OK","ERROR")</x:f>
        <x:v>OK</x:v>
      </x:c>
      <x:c r="N105" s="8" t="str">
        <x:f>IF(AND(G105&gt;F105,G105-F105&lt;=INDEX('Objetos'!$J$2:$J$181,MATCH(C105,'Objetos'!$A$2:$A$181,0))),"OK","ERROR")</x:f>
        <x:v>OK</x:v>
      </x:c>
    </x:row>
    <x:row r="106">
      <x:c r="A106" s="8" t="str">
        <x:v>RSV-000105</x:v>
      </x:c>
      <x:c r="B106" s="8" t="str">
        <x:v>USR-0009</x:v>
      </x:c>
      <x:c r="C106" s="8" t="str">
        <x:v>ITM-000105</x:v>
      </x:c>
      <x:c r="D106" s="8" t="str">
        <x:v>HUB-MAD-009</x:v>
      </x:c>
      <x:c r="E106" s="10" t="n">
        <x:v>45867.375</x:v>
      </x:c>
      <x:c r="F106" s="10" t="n">
        <x:v>45871.375</x:v>
      </x:c>
      <x:c r="G106" s="10" t="n">
        <x:v>45875.375</x:v>
      </x:c>
      <x:c r="H106" s="8" t="str">
        <x:v>returned</x:v>
      </x:c>
      <x:c r="I106" s="8" t="str">
        <x:v>Recogida por la tarde, si es posible.</x:v>
      </x:c>
      <x:c r="J106" s="10" t="n">
        <x:v>45875.375</x:v>
      </x:c>
      <x:c r="K106" s="8" t="str">
        <x:f>IF(COUNTIF('Usuarios'!$A$2:$A$61,B106)=1,"OK","ERROR")</x:f>
        <x:v>OK</x:v>
      </x:c>
      <x:c r="L106" s="8" t="str">
        <x:f>IF(COUNTIF('Objetos'!$A$2:$A$181,C106)=1,"OK","ERROR")</x:f>
        <x:v>OK</x:v>
      </x:c>
      <x:c r="M106" s="8" t="str">
        <x:f>IF(COUNTIF('Centros'!$A$2:$A$13,D106)=1,"OK","ERROR")</x:f>
        <x:v>OK</x:v>
      </x:c>
      <x:c r="N106" s="8" t="str">
        <x:f>IF(AND(G106&gt;F106,G106-F106&lt;=INDEX('Objetos'!$J$2:$J$181,MATCH(C106,'Objetos'!$A$2:$A$181,0))),"OK","ERROR")</x:f>
        <x:v>OK</x:v>
      </x:c>
    </x:row>
    <x:row r="107">
      <x:c r="A107" s="8" t="str">
        <x:v>RSV-000106</x:v>
      </x:c>
      <x:c r="B107" s="8" t="str">
        <x:v>USR-0016</x:v>
      </x:c>
      <x:c r="C107" s="8" t="str">
        <x:v>ITM-000106</x:v>
      </x:c>
      <x:c r="D107" s="8" t="str">
        <x:v>HUB-MAD-010</x:v>
      </x:c>
      <x:c r="E107" s="10" t="n">
        <x:v>45869.375</x:v>
      </x:c>
      <x:c r="F107" s="10" t="n">
        <x:v>45873.375</x:v>
      </x:c>
      <x:c r="G107" s="10" t="n">
        <x:v>45875.375</x:v>
      </x:c>
      <x:c r="H107" s="8" t="str">
        <x:v>returned</x:v>
      </x:c>
      <x:c r="I107" s="8" t="str"/>
      <x:c r="J107" s="10" t="n">
        <x:v>45875.375</x:v>
      </x:c>
      <x:c r="K107" s="8" t="str">
        <x:f>IF(COUNTIF('Usuarios'!$A$2:$A$61,B107)=1,"OK","ERROR")</x:f>
        <x:v>OK</x:v>
      </x:c>
      <x:c r="L107" s="8" t="str">
        <x:f>IF(COUNTIF('Objetos'!$A$2:$A$181,C107)=1,"OK","ERROR")</x:f>
        <x:v>OK</x:v>
      </x:c>
      <x:c r="M107" s="8" t="str">
        <x:f>IF(COUNTIF('Centros'!$A$2:$A$13,D107)=1,"OK","ERROR")</x:f>
        <x:v>OK</x:v>
      </x:c>
      <x:c r="N107" s="8" t="str">
        <x:f>IF(AND(G107&gt;F107,G107-F107&lt;=INDEX('Objetos'!$J$2:$J$181,MATCH(C107,'Objetos'!$A$2:$A$181,0))),"OK","ERROR")</x:f>
        <x:v>OK</x:v>
      </x:c>
    </x:row>
    <x:row r="108">
      <x:c r="A108" s="8" t="str">
        <x:v>RSV-000107</x:v>
      </x:c>
      <x:c r="B108" s="8" t="str">
        <x:v>USR-0023</x:v>
      </x:c>
      <x:c r="C108" s="8" t="str">
        <x:v>ITM-000107</x:v>
      </x:c>
      <x:c r="D108" s="8" t="str">
        <x:v>HUB-MAD-011</x:v>
      </x:c>
      <x:c r="E108" s="10" t="n">
        <x:v>45871.375</x:v>
      </x:c>
      <x:c r="F108" s="10" t="n">
        <x:v>45875.375</x:v>
      </x:c>
      <x:c r="G108" s="10" t="n">
        <x:v>45878.375</x:v>
      </x:c>
      <x:c r="H108" s="8" t="str">
        <x:v>returned</x:v>
      </x:c>
      <x:c r="I108" s="8" t="str"/>
      <x:c r="J108" s="10" t="n">
        <x:v>45878.375</x:v>
      </x:c>
      <x:c r="K108" s="8" t="str">
        <x:f>IF(COUNTIF('Usuarios'!$A$2:$A$61,B108)=1,"OK","ERROR")</x:f>
        <x:v>OK</x:v>
      </x:c>
      <x:c r="L108" s="8" t="str">
        <x:f>IF(COUNTIF('Objetos'!$A$2:$A$181,C108)=1,"OK","ERROR")</x:f>
        <x:v>OK</x:v>
      </x:c>
      <x:c r="M108" s="8" t="str">
        <x:f>IF(COUNTIF('Centros'!$A$2:$A$13,D108)=1,"OK","ERROR")</x:f>
        <x:v>OK</x:v>
      </x:c>
      <x:c r="N108" s="8" t="str">
        <x:f>IF(AND(G108&gt;F108,G108-F108&lt;=INDEX('Objetos'!$J$2:$J$181,MATCH(C108,'Objetos'!$A$2:$A$181,0))),"OK","ERROR")</x:f>
        <x:v>OK</x:v>
      </x:c>
    </x:row>
    <x:row r="109">
      <x:c r="A109" s="8" t="str">
        <x:v>RSV-000108</x:v>
      </x:c>
      <x:c r="B109" s="8" t="str">
        <x:v>USR-0030</x:v>
      </x:c>
      <x:c r="C109" s="8" t="str">
        <x:v>ITM-000108</x:v>
      </x:c>
      <x:c r="D109" s="8" t="str">
        <x:v>HUB-MAD-012</x:v>
      </x:c>
      <x:c r="E109" s="10" t="n">
        <x:v>45873.375</x:v>
      </x:c>
      <x:c r="F109" s="10" t="n">
        <x:v>45877.375</x:v>
      </x:c>
      <x:c r="G109" s="10" t="n">
        <x:v>45881.375</x:v>
      </x:c>
      <x:c r="H109" s="8" t="str">
        <x:v>returned</x:v>
      </x:c>
      <x:c r="I109" s="8" t="str"/>
      <x:c r="J109" s="10" t="n">
        <x:v>45881.375</x:v>
      </x:c>
      <x:c r="K109" s="8" t="str">
        <x:f>IF(COUNTIF('Usuarios'!$A$2:$A$61,B109)=1,"OK","ERROR")</x:f>
        <x:v>OK</x:v>
      </x:c>
      <x:c r="L109" s="8" t="str">
        <x:f>IF(COUNTIF('Objetos'!$A$2:$A$181,C109)=1,"OK","ERROR")</x:f>
        <x:v>OK</x:v>
      </x:c>
      <x:c r="M109" s="8" t="str">
        <x:f>IF(COUNTIF('Centros'!$A$2:$A$13,D109)=1,"OK","ERROR")</x:f>
        <x:v>OK</x:v>
      </x:c>
      <x:c r="N109" s="8" t="str">
        <x:f>IF(AND(G109&gt;F109,G109-F109&lt;=INDEX('Objetos'!$J$2:$J$181,MATCH(C109,'Objetos'!$A$2:$A$181,0))),"OK","ERROR")</x:f>
        <x:v>OK</x:v>
      </x:c>
    </x:row>
    <x:row r="110">
      <x:c r="A110" s="8" t="str">
        <x:v>RSV-000109</x:v>
      </x:c>
      <x:c r="B110" s="8" t="str">
        <x:v>USR-0037</x:v>
      </x:c>
      <x:c r="C110" s="8" t="str">
        <x:v>ITM-000109</x:v>
      </x:c>
      <x:c r="D110" s="8" t="str">
        <x:v>HUB-MAD-001</x:v>
      </x:c>
      <x:c r="E110" s="10" t="n">
        <x:v>45875.375</x:v>
      </x:c>
      <x:c r="F110" s="10" t="n">
        <x:v>45879.375</x:v>
      </x:c>
      <x:c r="G110" s="10" t="n">
        <x:v>45881.375</x:v>
      </x:c>
      <x:c r="H110" s="8" t="str">
        <x:v>returned</x:v>
      </x:c>
      <x:c r="I110" s="8" t="str">
        <x:v>Recogida por la tarde, si es posible.</x:v>
      </x:c>
      <x:c r="J110" s="10" t="n">
        <x:v>45881.375</x:v>
      </x:c>
      <x:c r="K110" s="8" t="str">
        <x:f>IF(COUNTIF('Usuarios'!$A$2:$A$61,B110)=1,"OK","ERROR")</x:f>
        <x:v>OK</x:v>
      </x:c>
      <x:c r="L110" s="8" t="str">
        <x:f>IF(COUNTIF('Objetos'!$A$2:$A$181,C110)=1,"OK","ERROR")</x:f>
        <x:v>OK</x:v>
      </x:c>
      <x:c r="M110" s="8" t="str">
        <x:f>IF(COUNTIF('Centros'!$A$2:$A$13,D110)=1,"OK","ERROR")</x:f>
        <x:v>OK</x:v>
      </x:c>
      <x:c r="N110" s="8" t="str">
        <x:f>IF(AND(G110&gt;F110,G110-F110&lt;=INDEX('Objetos'!$J$2:$J$181,MATCH(C110,'Objetos'!$A$2:$A$181,0))),"OK","ERROR")</x:f>
        <x:v>OK</x:v>
      </x:c>
    </x:row>
    <x:row r="111">
      <x:c r="A111" s="8" t="str">
        <x:v>RSV-000110</x:v>
      </x:c>
      <x:c r="B111" s="8" t="str">
        <x:v>USR-0044</x:v>
      </x:c>
      <x:c r="C111" s="8" t="str">
        <x:v>ITM-000110</x:v>
      </x:c>
      <x:c r="D111" s="8" t="str">
        <x:v>HUB-MAD-002</x:v>
      </x:c>
      <x:c r="E111" s="10" t="n">
        <x:v>45877.375</x:v>
      </x:c>
      <x:c r="F111" s="10" t="n">
        <x:v>45881.375</x:v>
      </x:c>
      <x:c r="G111" s="10" t="n">
        <x:v>45884.375</x:v>
      </x:c>
      <x:c r="H111" s="8" t="str">
        <x:v>returned</x:v>
      </x:c>
      <x:c r="I111" s="8" t="str"/>
      <x:c r="J111" s="10" t="n">
        <x:v>45884.375</x:v>
      </x:c>
      <x:c r="K111" s="8" t="str">
        <x:f>IF(COUNTIF('Usuarios'!$A$2:$A$61,B111)=1,"OK","ERROR")</x:f>
        <x:v>OK</x:v>
      </x:c>
      <x:c r="L111" s="8" t="str">
        <x:f>IF(COUNTIF('Objetos'!$A$2:$A$181,C111)=1,"OK","ERROR")</x:f>
        <x:v>OK</x:v>
      </x:c>
      <x:c r="M111" s="8" t="str">
        <x:f>IF(COUNTIF('Centros'!$A$2:$A$13,D111)=1,"OK","ERROR")</x:f>
        <x:v>OK</x:v>
      </x:c>
      <x:c r="N111" s="8" t="str">
        <x:f>IF(AND(G111&gt;F111,G111-F111&lt;=INDEX('Objetos'!$J$2:$J$181,MATCH(C111,'Objetos'!$A$2:$A$181,0))),"OK","ERROR")</x:f>
        <x:v>OK</x:v>
      </x:c>
    </x:row>
    <x:row r="112">
      <x:c r="A112" s="8" t="str">
        <x:v>RSV-000111</x:v>
      </x:c>
      <x:c r="B112" s="8" t="str">
        <x:v>USR-0051</x:v>
      </x:c>
      <x:c r="C112" s="8" t="str">
        <x:v>ITM-000111</x:v>
      </x:c>
      <x:c r="D112" s="8" t="str">
        <x:v>HUB-MAD-003</x:v>
      </x:c>
      <x:c r="E112" s="10" t="n">
        <x:v>45879.375</x:v>
      </x:c>
      <x:c r="F112" s="10" t="n">
        <x:v>45883.375</x:v>
      </x:c>
      <x:c r="G112" s="10" t="n">
        <x:v>45886.375</x:v>
      </x:c>
      <x:c r="H112" s="8" t="str">
        <x:v>returned</x:v>
      </x:c>
      <x:c r="I112" s="8" t="str"/>
      <x:c r="J112" s="10" t="n">
        <x:v>45886.375</x:v>
      </x:c>
      <x:c r="K112" s="8" t="str">
        <x:f>IF(COUNTIF('Usuarios'!$A$2:$A$61,B112)=1,"OK","ERROR")</x:f>
        <x:v>OK</x:v>
      </x:c>
      <x:c r="L112" s="8" t="str">
        <x:f>IF(COUNTIF('Objetos'!$A$2:$A$181,C112)=1,"OK","ERROR")</x:f>
        <x:v>OK</x:v>
      </x:c>
      <x:c r="M112" s="8" t="str">
        <x:f>IF(COUNTIF('Centros'!$A$2:$A$13,D112)=1,"OK","ERROR")</x:f>
        <x:v>OK</x:v>
      </x:c>
      <x:c r="N112" s="8" t="str">
        <x:f>IF(AND(G112&gt;F112,G112-F112&lt;=INDEX('Objetos'!$J$2:$J$181,MATCH(C112,'Objetos'!$A$2:$A$181,0))),"OK","ERROR")</x:f>
        <x:v>OK</x:v>
      </x:c>
    </x:row>
    <x:row r="113">
      <x:c r="A113" s="8" t="str">
        <x:v>RSV-000112</x:v>
      </x:c>
      <x:c r="B113" s="8" t="str">
        <x:v>USR-0058</x:v>
      </x:c>
      <x:c r="C113" s="8" t="str">
        <x:v>ITM-000112</x:v>
      </x:c>
      <x:c r="D113" s="8" t="str">
        <x:v>HUB-MAD-004</x:v>
      </x:c>
      <x:c r="E113" s="10" t="n">
        <x:v>45881.375</x:v>
      </x:c>
      <x:c r="F113" s="10" t="n">
        <x:v>45885.375</x:v>
      </x:c>
      <x:c r="G113" s="10" t="n">
        <x:v>45887.375</x:v>
      </x:c>
      <x:c r="H113" s="8" t="str">
        <x:v>returned</x:v>
      </x:c>
      <x:c r="I113" s="8" t="str"/>
      <x:c r="J113" s="10" t="n">
        <x:v>45887.375</x:v>
      </x:c>
      <x:c r="K113" s="8" t="str">
        <x:f>IF(COUNTIF('Usuarios'!$A$2:$A$61,B113)=1,"OK","ERROR")</x:f>
        <x:v>OK</x:v>
      </x:c>
      <x:c r="L113" s="8" t="str">
        <x:f>IF(COUNTIF('Objetos'!$A$2:$A$181,C113)=1,"OK","ERROR")</x:f>
        <x:v>OK</x:v>
      </x:c>
      <x:c r="M113" s="8" t="str">
        <x:f>IF(COUNTIF('Centros'!$A$2:$A$13,D113)=1,"OK","ERROR")</x:f>
        <x:v>OK</x:v>
      </x:c>
      <x:c r="N113" s="8" t="str">
        <x:f>IF(AND(G113&gt;F113,G113-F113&lt;=INDEX('Objetos'!$J$2:$J$181,MATCH(C113,'Objetos'!$A$2:$A$181,0))),"OK","ERROR")</x:f>
        <x:v>OK</x:v>
      </x:c>
    </x:row>
    <x:row r="114">
      <x:c r="A114" s="8" t="str">
        <x:v>RSV-000113</x:v>
      </x:c>
      <x:c r="B114" s="8" t="str">
        <x:v>USR-0005</x:v>
      </x:c>
      <x:c r="C114" s="8" t="str">
        <x:v>ITM-000113</x:v>
      </x:c>
      <x:c r="D114" s="8" t="str">
        <x:v>HUB-MAD-005</x:v>
      </x:c>
      <x:c r="E114" s="10" t="n">
        <x:v>45883.375</x:v>
      </x:c>
      <x:c r="F114" s="10" t="n">
        <x:v>45887.375</x:v>
      </x:c>
      <x:c r="G114" s="10" t="n">
        <x:v>45890.375</x:v>
      </x:c>
      <x:c r="H114" s="8" t="str">
        <x:v>returned</x:v>
      </x:c>
      <x:c r="I114" s="8" t="str">
        <x:v>Recogida por la tarde, si es posible.</x:v>
      </x:c>
      <x:c r="J114" s="10" t="n">
        <x:v>45890.375</x:v>
      </x:c>
      <x:c r="K114" s="8" t="str">
        <x:f>IF(COUNTIF('Usuarios'!$A$2:$A$61,B114)=1,"OK","ERROR")</x:f>
        <x:v>OK</x:v>
      </x:c>
      <x:c r="L114" s="8" t="str">
        <x:f>IF(COUNTIF('Objetos'!$A$2:$A$181,C114)=1,"OK","ERROR")</x:f>
        <x:v>OK</x:v>
      </x:c>
      <x:c r="M114" s="8" t="str">
        <x:f>IF(COUNTIF('Centros'!$A$2:$A$13,D114)=1,"OK","ERROR")</x:f>
        <x:v>OK</x:v>
      </x:c>
      <x:c r="N114" s="8" t="str">
        <x:f>IF(AND(G114&gt;F114,G114-F114&lt;=INDEX('Objetos'!$J$2:$J$181,MATCH(C114,'Objetos'!$A$2:$A$181,0))),"OK","ERROR")</x:f>
        <x:v>OK</x:v>
      </x:c>
    </x:row>
    <x:row r="115">
      <x:c r="A115" s="8" t="str">
        <x:v>RSV-000114</x:v>
      </x:c>
      <x:c r="B115" s="8" t="str">
        <x:v>USR-0012</x:v>
      </x:c>
      <x:c r="C115" s="8" t="str">
        <x:v>ITM-000114</x:v>
      </x:c>
      <x:c r="D115" s="8" t="str">
        <x:v>HUB-MAD-006</x:v>
      </x:c>
      <x:c r="E115" s="10" t="n">
        <x:v>45885.375</x:v>
      </x:c>
      <x:c r="F115" s="10" t="n">
        <x:v>45889.375</x:v>
      </x:c>
      <x:c r="G115" s="10" t="n">
        <x:v>45893.375</x:v>
      </x:c>
      <x:c r="H115" s="8" t="str">
        <x:v>returned</x:v>
      </x:c>
      <x:c r="I115" s="8" t="str"/>
      <x:c r="J115" s="10" t="n">
        <x:v>45893.375</x:v>
      </x:c>
      <x:c r="K115" s="8" t="str">
        <x:f>IF(COUNTIF('Usuarios'!$A$2:$A$61,B115)=1,"OK","ERROR")</x:f>
        <x:v>OK</x:v>
      </x:c>
      <x:c r="L115" s="8" t="str">
        <x:f>IF(COUNTIF('Objetos'!$A$2:$A$181,C115)=1,"OK","ERROR")</x:f>
        <x:v>OK</x:v>
      </x:c>
      <x:c r="M115" s="8" t="str">
        <x:f>IF(COUNTIF('Centros'!$A$2:$A$13,D115)=1,"OK","ERROR")</x:f>
        <x:v>OK</x:v>
      </x:c>
      <x:c r="N115" s="8" t="str">
        <x:f>IF(AND(G115&gt;F115,G115-F115&lt;=INDEX('Objetos'!$J$2:$J$181,MATCH(C115,'Objetos'!$A$2:$A$181,0))),"OK","ERROR")</x:f>
        <x:v>OK</x:v>
      </x:c>
    </x:row>
    <x:row r="116">
      <x:c r="A116" s="8" t="str">
        <x:v>RSV-000115</x:v>
      </x:c>
      <x:c r="B116" s="8" t="str">
        <x:v>USR-0019</x:v>
      </x:c>
      <x:c r="C116" s="8" t="str">
        <x:v>ITM-000115</x:v>
      </x:c>
      <x:c r="D116" s="8" t="str">
        <x:v>HUB-MAD-007</x:v>
      </x:c>
      <x:c r="E116" s="10" t="n">
        <x:v>45887.375</x:v>
      </x:c>
      <x:c r="F116" s="10" t="n">
        <x:v>45891.375</x:v>
      </x:c>
      <x:c r="G116" s="10" t="n">
        <x:v>45893.375</x:v>
      </x:c>
      <x:c r="H116" s="8" t="str">
        <x:v>returned</x:v>
      </x:c>
      <x:c r="I116" s="8" t="str"/>
      <x:c r="J116" s="10" t="n">
        <x:v>45893.375</x:v>
      </x:c>
      <x:c r="K116" s="8" t="str">
        <x:f>IF(COUNTIF('Usuarios'!$A$2:$A$61,B116)=1,"OK","ERROR")</x:f>
        <x:v>OK</x:v>
      </x:c>
      <x:c r="L116" s="8" t="str">
        <x:f>IF(COUNTIF('Objetos'!$A$2:$A$181,C116)=1,"OK","ERROR")</x:f>
        <x:v>OK</x:v>
      </x:c>
      <x:c r="M116" s="8" t="str">
        <x:f>IF(COUNTIF('Centros'!$A$2:$A$13,D116)=1,"OK","ERROR")</x:f>
        <x:v>OK</x:v>
      </x:c>
      <x:c r="N116" s="8" t="str">
        <x:f>IF(AND(G116&gt;F116,G116-F116&lt;=INDEX('Objetos'!$J$2:$J$181,MATCH(C116,'Objetos'!$A$2:$A$181,0))),"OK","ERROR")</x:f>
        <x:v>OK</x:v>
      </x:c>
    </x:row>
    <x:row r="117">
      <x:c r="A117" s="8" t="str">
        <x:v>RSV-000116</x:v>
      </x:c>
      <x:c r="B117" s="8" t="str">
        <x:v>USR-0026</x:v>
      </x:c>
      <x:c r="C117" s="8" t="str">
        <x:v>ITM-000116</x:v>
      </x:c>
      <x:c r="D117" s="8" t="str">
        <x:v>HUB-MAD-008</x:v>
      </x:c>
      <x:c r="E117" s="10" t="n">
        <x:v>45889.375</x:v>
      </x:c>
      <x:c r="F117" s="10" t="n">
        <x:v>45893.375</x:v>
      </x:c>
      <x:c r="G117" s="10" t="n">
        <x:v>45896.375</x:v>
      </x:c>
      <x:c r="H117" s="8" t="str">
        <x:v>returned</x:v>
      </x:c>
      <x:c r="I117" s="8" t="str"/>
      <x:c r="J117" s="10" t="n">
        <x:v>45896.375</x:v>
      </x:c>
      <x:c r="K117" s="8" t="str">
        <x:f>IF(COUNTIF('Usuarios'!$A$2:$A$61,B117)=1,"OK","ERROR")</x:f>
        <x:v>OK</x:v>
      </x:c>
      <x:c r="L117" s="8" t="str">
        <x:f>IF(COUNTIF('Objetos'!$A$2:$A$181,C117)=1,"OK","ERROR")</x:f>
        <x:v>OK</x:v>
      </x:c>
      <x:c r="M117" s="8" t="str">
        <x:f>IF(COUNTIF('Centros'!$A$2:$A$13,D117)=1,"OK","ERROR")</x:f>
        <x:v>OK</x:v>
      </x:c>
      <x:c r="N117" s="8" t="str">
        <x:f>IF(AND(G117&gt;F117,G117-F117&lt;=INDEX('Objetos'!$J$2:$J$181,MATCH(C117,'Objetos'!$A$2:$A$181,0))),"OK","ERROR")</x:f>
        <x:v>OK</x:v>
      </x:c>
    </x:row>
    <x:row r="118">
      <x:c r="A118" s="8" t="str">
        <x:v>RSV-000117</x:v>
      </x:c>
      <x:c r="B118" s="8" t="str">
        <x:v>USR-0033</x:v>
      </x:c>
      <x:c r="C118" s="8" t="str">
        <x:v>ITM-000117</x:v>
      </x:c>
      <x:c r="D118" s="8" t="str">
        <x:v>HUB-MAD-009</x:v>
      </x:c>
      <x:c r="E118" s="10" t="n">
        <x:v>45891.375</x:v>
      </x:c>
      <x:c r="F118" s="10" t="n">
        <x:v>45895.375</x:v>
      </x:c>
      <x:c r="G118" s="10" t="n">
        <x:v>45899.375</x:v>
      </x:c>
      <x:c r="H118" s="8" t="str">
        <x:v>returned</x:v>
      </x:c>
      <x:c r="I118" s="8" t="str">
        <x:v>Recogida por la tarde, si es posible.</x:v>
      </x:c>
      <x:c r="J118" s="10" t="n">
        <x:v>45899.375</x:v>
      </x:c>
      <x:c r="K118" s="8" t="str">
        <x:f>IF(COUNTIF('Usuarios'!$A$2:$A$61,B118)=1,"OK","ERROR")</x:f>
        <x:v>OK</x:v>
      </x:c>
      <x:c r="L118" s="8" t="str">
        <x:f>IF(COUNTIF('Objetos'!$A$2:$A$181,C118)=1,"OK","ERROR")</x:f>
        <x:v>OK</x:v>
      </x:c>
      <x:c r="M118" s="8" t="str">
        <x:f>IF(COUNTIF('Centros'!$A$2:$A$13,D118)=1,"OK","ERROR")</x:f>
        <x:v>OK</x:v>
      </x:c>
      <x:c r="N118" s="8" t="str">
        <x:f>IF(AND(G118&gt;F118,G118-F118&lt;=INDEX('Objetos'!$J$2:$J$181,MATCH(C118,'Objetos'!$A$2:$A$181,0))),"OK","ERROR")</x:f>
        <x:v>OK</x:v>
      </x:c>
    </x:row>
    <x:row r="119">
      <x:c r="A119" s="8" t="str">
        <x:v>RSV-000118</x:v>
      </x:c>
      <x:c r="B119" s="8" t="str">
        <x:v>USR-0040</x:v>
      </x:c>
      <x:c r="C119" s="8" t="str">
        <x:v>ITM-000118</x:v>
      </x:c>
      <x:c r="D119" s="8" t="str">
        <x:v>HUB-MAD-010</x:v>
      </x:c>
      <x:c r="E119" s="10" t="n">
        <x:v>45893.375</x:v>
      </x:c>
      <x:c r="F119" s="10" t="n">
        <x:v>45897.375</x:v>
      </x:c>
      <x:c r="G119" s="10" t="n">
        <x:v>45899.375</x:v>
      </x:c>
      <x:c r="H119" s="8" t="str">
        <x:v>returned</x:v>
      </x:c>
      <x:c r="I119" s="8" t="str"/>
      <x:c r="J119" s="10" t="n">
        <x:v>45899.375</x:v>
      </x:c>
      <x:c r="K119" s="8" t="str">
        <x:f>IF(COUNTIF('Usuarios'!$A$2:$A$61,B119)=1,"OK","ERROR")</x:f>
        <x:v>OK</x:v>
      </x:c>
      <x:c r="L119" s="8" t="str">
        <x:f>IF(COUNTIF('Objetos'!$A$2:$A$181,C119)=1,"OK","ERROR")</x:f>
        <x:v>OK</x:v>
      </x:c>
      <x:c r="M119" s="8" t="str">
        <x:f>IF(COUNTIF('Centros'!$A$2:$A$13,D119)=1,"OK","ERROR")</x:f>
        <x:v>OK</x:v>
      </x:c>
      <x:c r="N119" s="8" t="str">
        <x:f>IF(AND(G119&gt;F119,G119-F119&lt;=INDEX('Objetos'!$J$2:$J$181,MATCH(C119,'Objetos'!$A$2:$A$181,0))),"OK","ERROR")</x:f>
        <x:v>OK</x:v>
      </x:c>
    </x:row>
    <x:row r="120">
      <x:c r="A120" s="8" t="str">
        <x:v>RSV-000119</x:v>
      </x:c>
      <x:c r="B120" s="8" t="str">
        <x:v>USR-0047</x:v>
      </x:c>
      <x:c r="C120" s="8" t="str">
        <x:v>ITM-000119</x:v>
      </x:c>
      <x:c r="D120" s="8" t="str">
        <x:v>HUB-MAD-011</x:v>
      </x:c>
      <x:c r="E120" s="10" t="n">
        <x:v>45895.375</x:v>
      </x:c>
      <x:c r="F120" s="10" t="n">
        <x:v>45899.375</x:v>
      </x:c>
      <x:c r="G120" s="10" t="n">
        <x:v>45902.375</x:v>
      </x:c>
      <x:c r="H120" s="8" t="str">
        <x:v>returned</x:v>
      </x:c>
      <x:c r="I120" s="8" t="str"/>
      <x:c r="J120" s="10" t="n">
        <x:v>45902.375</x:v>
      </x:c>
      <x:c r="K120" s="8" t="str">
        <x:f>IF(COUNTIF('Usuarios'!$A$2:$A$61,B120)=1,"OK","ERROR")</x:f>
        <x:v>OK</x:v>
      </x:c>
      <x:c r="L120" s="8" t="str">
        <x:f>IF(COUNTIF('Objetos'!$A$2:$A$181,C120)=1,"OK","ERROR")</x:f>
        <x:v>OK</x:v>
      </x:c>
      <x:c r="M120" s="8" t="str">
        <x:f>IF(COUNTIF('Centros'!$A$2:$A$13,D120)=1,"OK","ERROR")</x:f>
        <x:v>OK</x:v>
      </x:c>
      <x:c r="N120" s="8" t="str">
        <x:f>IF(AND(G120&gt;F120,G120-F120&lt;=INDEX('Objetos'!$J$2:$J$181,MATCH(C120,'Objetos'!$A$2:$A$181,0))),"OK","ERROR")</x:f>
        <x:v>OK</x:v>
      </x:c>
    </x:row>
    <x:row r="121">
      <x:c r="A121" s="8" t="str">
        <x:v>RSV-000120</x:v>
      </x:c>
      <x:c r="B121" s="8" t="str">
        <x:v>USR-0054</x:v>
      </x:c>
      <x:c r="C121" s="8" t="str">
        <x:v>ITM-000120</x:v>
      </x:c>
      <x:c r="D121" s="8" t="str">
        <x:v>HUB-MAD-012</x:v>
      </x:c>
      <x:c r="E121" s="10" t="n">
        <x:v>45897.375</x:v>
      </x:c>
      <x:c r="F121" s="10" t="n">
        <x:v>45901.375</x:v>
      </x:c>
      <x:c r="G121" s="10" t="n">
        <x:v>45905.375</x:v>
      </x:c>
      <x:c r="H121" s="8" t="str">
        <x:v>returned</x:v>
      </x:c>
      <x:c r="I121" s="8" t="str"/>
      <x:c r="J121" s="10" t="n">
        <x:v>45905.375</x:v>
      </x:c>
      <x:c r="K121" s="8" t="str">
        <x:f>IF(COUNTIF('Usuarios'!$A$2:$A$61,B121)=1,"OK","ERROR")</x:f>
        <x:v>OK</x:v>
      </x:c>
      <x:c r="L121" s="8" t="str">
        <x:f>IF(COUNTIF('Objetos'!$A$2:$A$181,C121)=1,"OK","ERROR")</x:f>
        <x:v>OK</x:v>
      </x:c>
      <x:c r="M121" s="8" t="str">
        <x:f>IF(COUNTIF('Centros'!$A$2:$A$13,D121)=1,"OK","ERROR")</x:f>
        <x:v>OK</x:v>
      </x:c>
      <x:c r="N121" s="8" t="str">
        <x:f>IF(AND(G121&gt;F121,G121-F121&lt;=INDEX('Objetos'!$J$2:$J$181,MATCH(C121,'Objetos'!$A$2:$A$181,0))),"OK","ERROR")</x:f>
        <x:v>OK</x:v>
      </x:c>
    </x:row>
    <x:row r="122">
      <x:c r="A122" s="8" t="str">
        <x:v>RSV-000121</x:v>
      </x:c>
      <x:c r="B122" s="8" t="str">
        <x:v>USR-0001</x:v>
      </x:c>
      <x:c r="C122" s="8" t="str">
        <x:v>ITM-000121</x:v>
      </x:c>
      <x:c r="D122" s="8" t="str">
        <x:v>HUB-MAD-001</x:v>
      </x:c>
      <x:c r="E122" s="10" t="n">
        <x:v>45899.375</x:v>
      </x:c>
      <x:c r="F122" s="10" t="n">
        <x:v>45903.375</x:v>
      </x:c>
      <x:c r="G122" s="10" t="n">
        <x:v>45905.375</x:v>
      </x:c>
      <x:c r="H122" s="8" t="str">
        <x:v>returned</x:v>
      </x:c>
      <x:c r="I122" s="8" t="str">
        <x:v>Recogida por la tarde, si es posible.</x:v>
      </x:c>
      <x:c r="J122" s="10" t="n">
        <x:v>45905.375</x:v>
      </x:c>
      <x:c r="K122" s="8" t="str">
        <x:f>IF(COUNTIF('Usuarios'!$A$2:$A$61,B122)=1,"OK","ERROR")</x:f>
        <x:v>OK</x:v>
      </x:c>
      <x:c r="L122" s="8" t="str">
        <x:f>IF(COUNTIF('Objetos'!$A$2:$A$181,C122)=1,"OK","ERROR")</x:f>
        <x:v>OK</x:v>
      </x:c>
      <x:c r="M122" s="8" t="str">
        <x:f>IF(COUNTIF('Centros'!$A$2:$A$13,D122)=1,"OK","ERROR")</x:f>
        <x:v>OK</x:v>
      </x:c>
      <x:c r="N122" s="8" t="str">
        <x:f>IF(AND(G122&gt;F122,G122-F122&lt;=INDEX('Objetos'!$J$2:$J$181,MATCH(C122,'Objetos'!$A$2:$A$181,0))),"OK","ERROR")</x:f>
        <x:v>OK</x:v>
      </x:c>
    </x:row>
    <x:row r="123">
      <x:c r="A123" s="8" t="str">
        <x:v>RSV-000122</x:v>
      </x:c>
      <x:c r="B123" s="8" t="str">
        <x:v>USR-0008</x:v>
      </x:c>
      <x:c r="C123" s="8" t="str">
        <x:v>ITM-000122</x:v>
      </x:c>
      <x:c r="D123" s="8" t="str">
        <x:v>HUB-MAD-002</x:v>
      </x:c>
      <x:c r="E123" s="10" t="n">
        <x:v>45901.375</x:v>
      </x:c>
      <x:c r="F123" s="10" t="n">
        <x:v>45905.375</x:v>
      </x:c>
      <x:c r="G123" s="10" t="n">
        <x:v>45908.375</x:v>
      </x:c>
      <x:c r="H123" s="8" t="str">
        <x:v>returned</x:v>
      </x:c>
      <x:c r="I123" s="8" t="str"/>
      <x:c r="J123" s="10" t="n">
        <x:v>45908.375</x:v>
      </x:c>
      <x:c r="K123" s="8" t="str">
        <x:f>IF(COUNTIF('Usuarios'!$A$2:$A$61,B123)=1,"OK","ERROR")</x:f>
        <x:v>OK</x:v>
      </x:c>
      <x:c r="L123" s="8" t="str">
        <x:f>IF(COUNTIF('Objetos'!$A$2:$A$181,C123)=1,"OK","ERROR")</x:f>
        <x:v>OK</x:v>
      </x:c>
      <x:c r="M123" s="8" t="str">
        <x:f>IF(COUNTIF('Centros'!$A$2:$A$13,D123)=1,"OK","ERROR")</x:f>
        <x:v>OK</x:v>
      </x:c>
      <x:c r="N123" s="8" t="str">
        <x:f>IF(AND(G123&gt;F123,G123-F123&lt;=INDEX('Objetos'!$J$2:$J$181,MATCH(C123,'Objetos'!$A$2:$A$181,0))),"OK","ERROR")</x:f>
        <x:v>OK</x:v>
      </x:c>
    </x:row>
    <x:row r="124">
      <x:c r="A124" s="8" t="str">
        <x:v>RSV-000123</x:v>
      </x:c>
      <x:c r="B124" s="8" t="str">
        <x:v>USR-0015</x:v>
      </x:c>
      <x:c r="C124" s="8" t="str">
        <x:v>ITM-000123</x:v>
      </x:c>
      <x:c r="D124" s="8" t="str">
        <x:v>HUB-MAD-003</x:v>
      </x:c>
      <x:c r="E124" s="10" t="n">
        <x:v>45903.375</x:v>
      </x:c>
      <x:c r="F124" s="10" t="n">
        <x:v>45907.375</x:v>
      </x:c>
      <x:c r="G124" s="10" t="n">
        <x:v>45911.375</x:v>
      </x:c>
      <x:c r="H124" s="8" t="str">
        <x:v>returned</x:v>
      </x:c>
      <x:c r="I124" s="8" t="str"/>
      <x:c r="J124" s="10" t="n">
        <x:v>45911.375</x:v>
      </x:c>
      <x:c r="K124" s="8" t="str">
        <x:f>IF(COUNTIF('Usuarios'!$A$2:$A$61,B124)=1,"OK","ERROR")</x:f>
        <x:v>OK</x:v>
      </x:c>
      <x:c r="L124" s="8" t="str">
        <x:f>IF(COUNTIF('Objetos'!$A$2:$A$181,C124)=1,"OK","ERROR")</x:f>
        <x:v>OK</x:v>
      </x:c>
      <x:c r="M124" s="8" t="str">
        <x:f>IF(COUNTIF('Centros'!$A$2:$A$13,D124)=1,"OK","ERROR")</x:f>
        <x:v>OK</x:v>
      </x:c>
      <x:c r="N124" s="8" t="str">
        <x:f>IF(AND(G124&gt;F124,G124-F124&lt;=INDEX('Objetos'!$J$2:$J$181,MATCH(C124,'Objetos'!$A$2:$A$181,0))),"OK","ERROR")</x:f>
        <x:v>OK</x:v>
      </x:c>
    </x:row>
    <x:row r="125">
      <x:c r="A125" s="8" t="str">
        <x:v>RSV-000124</x:v>
      </x:c>
      <x:c r="B125" s="8" t="str">
        <x:v>USR-0022</x:v>
      </x:c>
      <x:c r="C125" s="8" t="str">
        <x:v>ITM-000124</x:v>
      </x:c>
      <x:c r="D125" s="8" t="str">
        <x:v>HUB-MAD-004</x:v>
      </x:c>
      <x:c r="E125" s="10" t="n">
        <x:v>45905.375</x:v>
      </x:c>
      <x:c r="F125" s="10" t="n">
        <x:v>45909.375</x:v>
      </x:c>
      <x:c r="G125" s="10" t="n">
        <x:v>45911.375</x:v>
      </x:c>
      <x:c r="H125" s="8" t="str">
        <x:v>returned</x:v>
      </x:c>
      <x:c r="I125" s="8" t="str"/>
      <x:c r="J125" s="10" t="n">
        <x:v>45911.375</x:v>
      </x:c>
      <x:c r="K125" s="8" t="str">
        <x:f>IF(COUNTIF('Usuarios'!$A$2:$A$61,B125)=1,"OK","ERROR")</x:f>
        <x:v>OK</x:v>
      </x:c>
      <x:c r="L125" s="8" t="str">
        <x:f>IF(COUNTIF('Objetos'!$A$2:$A$181,C125)=1,"OK","ERROR")</x:f>
        <x:v>OK</x:v>
      </x:c>
      <x:c r="M125" s="8" t="str">
        <x:f>IF(COUNTIF('Centros'!$A$2:$A$13,D125)=1,"OK","ERROR")</x:f>
        <x:v>OK</x:v>
      </x:c>
      <x:c r="N125" s="8" t="str">
        <x:f>IF(AND(G125&gt;F125,G125-F125&lt;=INDEX('Objetos'!$J$2:$J$181,MATCH(C125,'Objetos'!$A$2:$A$181,0))),"OK","ERROR")</x:f>
        <x:v>OK</x:v>
      </x:c>
    </x:row>
    <x:row r="126">
      <x:c r="A126" s="8" t="str">
        <x:v>RSV-000125</x:v>
      </x:c>
      <x:c r="B126" s="8" t="str">
        <x:v>USR-0029</x:v>
      </x:c>
      <x:c r="C126" s="8" t="str">
        <x:v>ITM-000125</x:v>
      </x:c>
      <x:c r="D126" s="8" t="str">
        <x:v>HUB-MAD-005</x:v>
      </x:c>
      <x:c r="E126" s="10" t="n">
        <x:v>45907.375</x:v>
      </x:c>
      <x:c r="F126" s="10" t="n">
        <x:v>45911.375</x:v>
      </x:c>
      <x:c r="G126" s="10" t="n">
        <x:v>45914.375</x:v>
      </x:c>
      <x:c r="H126" s="8" t="str">
        <x:v>returned</x:v>
      </x:c>
      <x:c r="I126" s="8" t="str">
        <x:v>Recogida por la tarde, si es posible.</x:v>
      </x:c>
      <x:c r="J126" s="10" t="n">
        <x:v>45914.375</x:v>
      </x:c>
      <x:c r="K126" s="8" t="str">
        <x:f>IF(COUNTIF('Usuarios'!$A$2:$A$61,B126)=1,"OK","ERROR")</x:f>
        <x:v>OK</x:v>
      </x:c>
      <x:c r="L126" s="8" t="str">
        <x:f>IF(COUNTIF('Objetos'!$A$2:$A$181,C126)=1,"OK","ERROR")</x:f>
        <x:v>OK</x:v>
      </x:c>
      <x:c r="M126" s="8" t="str">
        <x:f>IF(COUNTIF('Centros'!$A$2:$A$13,D126)=1,"OK","ERROR")</x:f>
        <x:v>OK</x:v>
      </x:c>
      <x:c r="N126" s="8" t="str">
        <x:f>IF(AND(G126&gt;F126,G126-F126&lt;=INDEX('Objetos'!$J$2:$J$181,MATCH(C126,'Objetos'!$A$2:$A$181,0))),"OK","ERROR")</x:f>
        <x:v>OK</x:v>
      </x:c>
    </x:row>
    <x:row r="127">
      <x:c r="A127" s="8" t="str">
        <x:v>RSV-000126</x:v>
      </x:c>
      <x:c r="B127" s="8" t="str">
        <x:v>USR-0036</x:v>
      </x:c>
      <x:c r="C127" s="8" t="str">
        <x:v>ITM-000126</x:v>
      </x:c>
      <x:c r="D127" s="8" t="str">
        <x:v>HUB-MAD-006</x:v>
      </x:c>
      <x:c r="E127" s="10" t="n">
        <x:v>45909.375</x:v>
      </x:c>
      <x:c r="F127" s="10" t="n">
        <x:v>45913.375</x:v>
      </x:c>
      <x:c r="G127" s="10" t="n">
        <x:v>45916.375</x:v>
      </x:c>
      <x:c r="H127" s="8" t="str">
        <x:v>returned</x:v>
      </x:c>
      <x:c r="I127" s="8" t="str"/>
      <x:c r="J127" s="10" t="n">
        <x:v>45916.375</x:v>
      </x:c>
      <x:c r="K127" s="8" t="str">
        <x:f>IF(COUNTIF('Usuarios'!$A$2:$A$61,B127)=1,"OK","ERROR")</x:f>
        <x:v>OK</x:v>
      </x:c>
      <x:c r="L127" s="8" t="str">
        <x:f>IF(COUNTIF('Objetos'!$A$2:$A$181,C127)=1,"OK","ERROR")</x:f>
        <x:v>OK</x:v>
      </x:c>
      <x:c r="M127" s="8" t="str">
        <x:f>IF(COUNTIF('Centros'!$A$2:$A$13,D127)=1,"OK","ERROR")</x:f>
        <x:v>OK</x:v>
      </x:c>
      <x:c r="N127" s="8" t="str">
        <x:f>IF(AND(G127&gt;F127,G127-F127&lt;=INDEX('Objetos'!$J$2:$J$181,MATCH(C127,'Objetos'!$A$2:$A$181,0))),"OK","ERROR")</x:f>
        <x:v>OK</x:v>
      </x:c>
    </x:row>
    <x:row r="128">
      <x:c r="A128" s="8" t="str">
        <x:v>RSV-000127</x:v>
      </x:c>
      <x:c r="B128" s="8" t="str">
        <x:v>USR-0043</x:v>
      </x:c>
      <x:c r="C128" s="8" t="str">
        <x:v>ITM-000127</x:v>
      </x:c>
      <x:c r="D128" s="8" t="str">
        <x:v>HUB-MAD-007</x:v>
      </x:c>
      <x:c r="E128" s="10" t="n">
        <x:v>45911.375</x:v>
      </x:c>
      <x:c r="F128" s="10" t="n">
        <x:v>45915.375</x:v>
      </x:c>
      <x:c r="G128" s="10" t="n">
        <x:v>45917.375</x:v>
      </x:c>
      <x:c r="H128" s="8" t="str">
        <x:v>returned</x:v>
      </x:c>
      <x:c r="I128" s="8" t="str"/>
      <x:c r="J128" s="10" t="n">
        <x:v>45917.375</x:v>
      </x:c>
      <x:c r="K128" s="8" t="str">
        <x:f>IF(COUNTIF('Usuarios'!$A$2:$A$61,B128)=1,"OK","ERROR")</x:f>
        <x:v>OK</x:v>
      </x:c>
      <x:c r="L128" s="8" t="str">
        <x:f>IF(COUNTIF('Objetos'!$A$2:$A$181,C128)=1,"OK","ERROR")</x:f>
        <x:v>OK</x:v>
      </x:c>
      <x:c r="M128" s="8" t="str">
        <x:f>IF(COUNTIF('Centros'!$A$2:$A$13,D128)=1,"OK","ERROR")</x:f>
        <x:v>OK</x:v>
      </x:c>
      <x:c r="N128" s="8" t="str">
        <x:f>IF(AND(G128&gt;F128,G128-F128&lt;=INDEX('Objetos'!$J$2:$J$181,MATCH(C128,'Objetos'!$A$2:$A$181,0))),"OK","ERROR")</x:f>
        <x:v>OK</x:v>
      </x:c>
    </x:row>
    <x:row r="129">
      <x:c r="A129" s="8" t="str">
        <x:v>RSV-000128</x:v>
      </x:c>
      <x:c r="B129" s="8" t="str">
        <x:v>USR-0050</x:v>
      </x:c>
      <x:c r="C129" s="8" t="str">
        <x:v>ITM-000128</x:v>
      </x:c>
      <x:c r="D129" s="8" t="str">
        <x:v>HUB-MAD-008</x:v>
      </x:c>
      <x:c r="E129" s="10" t="n">
        <x:v>45913.375</x:v>
      </x:c>
      <x:c r="F129" s="10" t="n">
        <x:v>45917.375</x:v>
      </x:c>
      <x:c r="G129" s="10" t="n">
        <x:v>45920.375</x:v>
      </x:c>
      <x:c r="H129" s="8" t="str">
        <x:v>returned</x:v>
      </x:c>
      <x:c r="I129" s="8" t="str"/>
      <x:c r="J129" s="10" t="n">
        <x:v>45920.375</x:v>
      </x:c>
      <x:c r="K129" s="8" t="str">
        <x:f>IF(COUNTIF('Usuarios'!$A$2:$A$61,B129)=1,"OK","ERROR")</x:f>
        <x:v>OK</x:v>
      </x:c>
      <x:c r="L129" s="8" t="str">
        <x:f>IF(COUNTIF('Objetos'!$A$2:$A$181,C129)=1,"OK","ERROR")</x:f>
        <x:v>OK</x:v>
      </x:c>
      <x:c r="M129" s="8" t="str">
        <x:f>IF(COUNTIF('Centros'!$A$2:$A$13,D129)=1,"OK","ERROR")</x:f>
        <x:v>OK</x:v>
      </x:c>
      <x:c r="N129" s="8" t="str">
        <x:f>IF(AND(G129&gt;F129,G129-F129&lt;=INDEX('Objetos'!$J$2:$J$181,MATCH(C129,'Objetos'!$A$2:$A$181,0))),"OK","ERROR")</x:f>
        <x:v>OK</x:v>
      </x:c>
    </x:row>
    <x:row r="130">
      <x:c r="A130" s="8" t="str">
        <x:v>RSV-000129</x:v>
      </x:c>
      <x:c r="B130" s="8" t="str">
        <x:v>USR-0057</x:v>
      </x:c>
      <x:c r="C130" s="8" t="str">
        <x:v>ITM-000129</x:v>
      </x:c>
      <x:c r="D130" s="8" t="str">
        <x:v>HUB-MAD-009</x:v>
      </x:c>
      <x:c r="E130" s="10" t="n">
        <x:v>45915.375</x:v>
      </x:c>
      <x:c r="F130" s="10" t="n">
        <x:v>45919.375</x:v>
      </x:c>
      <x:c r="G130" s="10" t="n">
        <x:v>45923.375</x:v>
      </x:c>
      <x:c r="H130" s="8" t="str">
        <x:v>returned</x:v>
      </x:c>
      <x:c r="I130" s="8" t="str">
        <x:v>Recogida por la tarde, si es posible.</x:v>
      </x:c>
      <x:c r="J130" s="10" t="n">
        <x:v>45923.375</x:v>
      </x:c>
      <x:c r="K130" s="8" t="str">
        <x:f>IF(COUNTIF('Usuarios'!$A$2:$A$61,B130)=1,"OK","ERROR")</x:f>
        <x:v>OK</x:v>
      </x:c>
      <x:c r="L130" s="8" t="str">
        <x:f>IF(COUNTIF('Objetos'!$A$2:$A$181,C130)=1,"OK","ERROR")</x:f>
        <x:v>OK</x:v>
      </x:c>
      <x:c r="M130" s="8" t="str">
        <x:f>IF(COUNTIF('Centros'!$A$2:$A$13,D130)=1,"OK","ERROR")</x:f>
        <x:v>OK</x:v>
      </x:c>
      <x:c r="N130" s="8" t="str">
        <x:f>IF(AND(G130&gt;F130,G130-F130&lt;=INDEX('Objetos'!$J$2:$J$181,MATCH(C130,'Objetos'!$A$2:$A$181,0))),"OK","ERROR")</x:f>
        <x:v>OK</x:v>
      </x:c>
    </x:row>
    <x:row r="131">
      <x:c r="A131" s="8" t="str">
        <x:v>RSV-000130</x:v>
      </x:c>
      <x:c r="B131" s="8" t="str">
        <x:v>USR-0004</x:v>
      </x:c>
      <x:c r="C131" s="8" t="str">
        <x:v>ITM-000130</x:v>
      </x:c>
      <x:c r="D131" s="8" t="str">
        <x:v>HUB-MAD-010</x:v>
      </x:c>
      <x:c r="E131" s="10" t="n">
        <x:v>45917.375</x:v>
      </x:c>
      <x:c r="F131" s="10" t="n">
        <x:v>45921.375</x:v>
      </x:c>
      <x:c r="G131" s="10" t="n">
        <x:v>45923.375</x:v>
      </x:c>
      <x:c r="H131" s="8" t="str">
        <x:v>returned</x:v>
      </x:c>
      <x:c r="I131" s="8" t="str"/>
      <x:c r="J131" s="10" t="n">
        <x:v>45923.375</x:v>
      </x:c>
      <x:c r="K131" s="8" t="str">
        <x:f>IF(COUNTIF('Usuarios'!$A$2:$A$61,B131)=1,"OK","ERROR")</x:f>
        <x:v>OK</x:v>
      </x:c>
      <x:c r="L131" s="8" t="str">
        <x:f>IF(COUNTIF('Objetos'!$A$2:$A$181,C131)=1,"OK","ERROR")</x:f>
        <x:v>OK</x:v>
      </x:c>
      <x:c r="M131" s="8" t="str">
        <x:f>IF(COUNTIF('Centros'!$A$2:$A$13,D131)=1,"OK","ERROR")</x:f>
        <x:v>OK</x:v>
      </x:c>
      <x:c r="N131" s="8" t="str">
        <x:f>IF(AND(G131&gt;F131,G131-F131&lt;=INDEX('Objetos'!$J$2:$J$181,MATCH(C131,'Objetos'!$A$2:$A$181,0))),"OK","ERROR")</x:f>
        <x:v>OK</x:v>
      </x:c>
    </x:row>
    <x:row r="132">
      <x:c r="A132" s="8" t="str">
        <x:v>RSV-000131</x:v>
      </x:c>
      <x:c r="B132" s="8" t="str">
        <x:v>USR-0011</x:v>
      </x:c>
      <x:c r="C132" s="8" t="str">
        <x:v>ITM-000131</x:v>
      </x:c>
      <x:c r="D132" s="8" t="str">
        <x:v>HUB-MAD-011</x:v>
      </x:c>
      <x:c r="E132" s="10" t="n">
        <x:v>45919.375</x:v>
      </x:c>
      <x:c r="F132" s="10" t="n">
        <x:v>45923.375</x:v>
      </x:c>
      <x:c r="G132" s="10" t="n">
        <x:v>45926.375</x:v>
      </x:c>
      <x:c r="H132" s="8" t="str">
        <x:v>returned</x:v>
      </x:c>
      <x:c r="I132" s="8" t="str"/>
      <x:c r="J132" s="10" t="n">
        <x:v>45926.375</x:v>
      </x:c>
      <x:c r="K132" s="8" t="str">
        <x:f>IF(COUNTIF('Usuarios'!$A$2:$A$61,B132)=1,"OK","ERROR")</x:f>
        <x:v>OK</x:v>
      </x:c>
      <x:c r="L132" s="8" t="str">
        <x:f>IF(COUNTIF('Objetos'!$A$2:$A$181,C132)=1,"OK","ERROR")</x:f>
        <x:v>OK</x:v>
      </x:c>
      <x:c r="M132" s="8" t="str">
        <x:f>IF(COUNTIF('Centros'!$A$2:$A$13,D132)=1,"OK","ERROR")</x:f>
        <x:v>OK</x:v>
      </x:c>
      <x:c r="N132" s="8" t="str">
        <x:f>IF(AND(G132&gt;F132,G132-F132&lt;=INDEX('Objetos'!$J$2:$J$181,MATCH(C132,'Objetos'!$A$2:$A$181,0))),"OK","ERROR")</x:f>
        <x:v>OK</x:v>
      </x:c>
    </x:row>
    <x:row r="133">
      <x:c r="A133" s="8" t="str">
        <x:v>RSV-000132</x:v>
      </x:c>
      <x:c r="B133" s="8" t="str">
        <x:v>USR-0018</x:v>
      </x:c>
      <x:c r="C133" s="8" t="str">
        <x:v>ITM-000132</x:v>
      </x:c>
      <x:c r="D133" s="8" t="str">
        <x:v>HUB-MAD-012</x:v>
      </x:c>
      <x:c r="E133" s="10" t="n">
        <x:v>45921.375</x:v>
      </x:c>
      <x:c r="F133" s="10" t="n">
        <x:v>45925.375</x:v>
      </x:c>
      <x:c r="G133" s="10" t="n">
        <x:v>45929.375</x:v>
      </x:c>
      <x:c r="H133" s="8" t="str">
        <x:v>returned</x:v>
      </x:c>
      <x:c r="I133" s="8" t="str"/>
      <x:c r="J133" s="10" t="n">
        <x:v>45929.375</x:v>
      </x:c>
      <x:c r="K133" s="8" t="str">
        <x:f>IF(COUNTIF('Usuarios'!$A$2:$A$61,B133)=1,"OK","ERROR")</x:f>
        <x:v>OK</x:v>
      </x:c>
      <x:c r="L133" s="8" t="str">
        <x:f>IF(COUNTIF('Objetos'!$A$2:$A$181,C133)=1,"OK","ERROR")</x:f>
        <x:v>OK</x:v>
      </x:c>
      <x:c r="M133" s="8" t="str">
        <x:f>IF(COUNTIF('Centros'!$A$2:$A$13,D133)=1,"OK","ERROR")</x:f>
        <x:v>OK</x:v>
      </x:c>
      <x:c r="N133" s="8" t="str">
        <x:f>IF(AND(G133&gt;F133,G133-F133&lt;=INDEX('Objetos'!$J$2:$J$181,MATCH(C133,'Objetos'!$A$2:$A$181,0))),"OK","ERROR")</x:f>
        <x:v>OK</x:v>
      </x:c>
    </x:row>
    <x:row r="134">
      <x:c r="A134" s="8" t="str">
        <x:v>RSV-000133</x:v>
      </x:c>
      <x:c r="B134" s="8" t="str">
        <x:v>USR-0025</x:v>
      </x:c>
      <x:c r="C134" s="8" t="str">
        <x:v>ITM-000133</x:v>
      </x:c>
      <x:c r="D134" s="8" t="str">
        <x:v>HUB-MAD-001</x:v>
      </x:c>
      <x:c r="E134" s="10" t="n">
        <x:v>45923.375</x:v>
      </x:c>
      <x:c r="F134" s="10" t="n">
        <x:v>45927.375</x:v>
      </x:c>
      <x:c r="G134" s="10" t="n">
        <x:v>45929.375</x:v>
      </x:c>
      <x:c r="H134" s="8" t="str">
        <x:v>returned</x:v>
      </x:c>
      <x:c r="I134" s="8" t="str">
        <x:v>Recogida por la tarde, si es posible.</x:v>
      </x:c>
      <x:c r="J134" s="10" t="n">
        <x:v>45929.375</x:v>
      </x:c>
      <x:c r="K134" s="8" t="str">
        <x:f>IF(COUNTIF('Usuarios'!$A$2:$A$61,B134)=1,"OK","ERROR")</x:f>
        <x:v>OK</x:v>
      </x:c>
      <x:c r="L134" s="8" t="str">
        <x:f>IF(COUNTIF('Objetos'!$A$2:$A$181,C134)=1,"OK","ERROR")</x:f>
        <x:v>OK</x:v>
      </x:c>
      <x:c r="M134" s="8" t="str">
        <x:f>IF(COUNTIF('Centros'!$A$2:$A$13,D134)=1,"OK","ERROR")</x:f>
        <x:v>OK</x:v>
      </x:c>
      <x:c r="N134" s="8" t="str">
        <x:f>IF(AND(G134&gt;F134,G134-F134&lt;=INDEX('Objetos'!$J$2:$J$181,MATCH(C134,'Objetos'!$A$2:$A$181,0))),"OK","ERROR")</x:f>
        <x:v>OK</x:v>
      </x:c>
    </x:row>
    <x:row r="135">
      <x:c r="A135" s="8" t="str">
        <x:v>RSV-000134</x:v>
      </x:c>
      <x:c r="B135" s="8" t="str">
        <x:v>USR-0032</x:v>
      </x:c>
      <x:c r="C135" s="8" t="str">
        <x:v>ITM-000134</x:v>
      </x:c>
      <x:c r="D135" s="8" t="str">
        <x:v>HUB-MAD-002</x:v>
      </x:c>
      <x:c r="E135" s="10" t="n">
        <x:v>45925.375</x:v>
      </x:c>
      <x:c r="F135" s="10" t="n">
        <x:v>45929.375</x:v>
      </x:c>
      <x:c r="G135" s="10" t="n">
        <x:v>45932.375</x:v>
      </x:c>
      <x:c r="H135" s="8" t="str">
        <x:v>returned</x:v>
      </x:c>
      <x:c r="I135" s="8" t="str"/>
      <x:c r="J135" s="10" t="n">
        <x:v>45932.375</x:v>
      </x:c>
      <x:c r="K135" s="8" t="str">
        <x:f>IF(COUNTIF('Usuarios'!$A$2:$A$61,B135)=1,"OK","ERROR")</x:f>
        <x:v>OK</x:v>
      </x:c>
      <x:c r="L135" s="8" t="str">
        <x:f>IF(COUNTIF('Objetos'!$A$2:$A$181,C135)=1,"OK","ERROR")</x:f>
        <x:v>OK</x:v>
      </x:c>
      <x:c r="M135" s="8" t="str">
        <x:f>IF(COUNTIF('Centros'!$A$2:$A$13,D135)=1,"OK","ERROR")</x:f>
        <x:v>OK</x:v>
      </x:c>
      <x:c r="N135" s="8" t="str">
        <x:f>IF(AND(G135&gt;F135,G135-F135&lt;=INDEX('Objetos'!$J$2:$J$181,MATCH(C135,'Objetos'!$A$2:$A$181,0))),"OK","ERROR")</x:f>
        <x:v>OK</x:v>
      </x:c>
    </x:row>
    <x:row r="136">
      <x:c r="A136" s="8" t="str">
        <x:v>RSV-000135</x:v>
      </x:c>
      <x:c r="B136" s="8" t="str">
        <x:v>USR-0039</x:v>
      </x:c>
      <x:c r="C136" s="8" t="str">
        <x:v>ITM-000135</x:v>
      </x:c>
      <x:c r="D136" s="8" t="str">
        <x:v>HUB-MAD-003</x:v>
      </x:c>
      <x:c r="E136" s="10" t="n">
        <x:v>45927.375</x:v>
      </x:c>
      <x:c r="F136" s="10" t="n">
        <x:v>45931.375</x:v>
      </x:c>
      <x:c r="G136" s="10" t="n">
        <x:v>45935.375</x:v>
      </x:c>
      <x:c r="H136" s="8" t="str">
        <x:v>returned</x:v>
      </x:c>
      <x:c r="I136" s="8" t="str"/>
      <x:c r="J136" s="10" t="n">
        <x:v>45935.375</x:v>
      </x:c>
      <x:c r="K136" s="8" t="str">
        <x:f>IF(COUNTIF('Usuarios'!$A$2:$A$61,B136)=1,"OK","ERROR")</x:f>
        <x:v>OK</x:v>
      </x:c>
      <x:c r="L136" s="8" t="str">
        <x:f>IF(COUNTIF('Objetos'!$A$2:$A$181,C136)=1,"OK","ERROR")</x:f>
        <x:v>OK</x:v>
      </x:c>
      <x:c r="M136" s="8" t="str">
        <x:f>IF(COUNTIF('Centros'!$A$2:$A$13,D136)=1,"OK","ERROR")</x:f>
        <x:v>OK</x:v>
      </x:c>
      <x:c r="N136" s="8" t="str">
        <x:f>IF(AND(G136&gt;F136,G136-F136&lt;=INDEX('Objetos'!$J$2:$J$181,MATCH(C136,'Objetos'!$A$2:$A$181,0))),"OK","ERROR")</x:f>
        <x:v>OK</x:v>
      </x:c>
    </x:row>
    <x:row r="137">
      <x:c r="A137" s="8" t="str">
        <x:v>RSV-000136</x:v>
      </x:c>
      <x:c r="B137" s="8" t="str">
        <x:v>USR-0046</x:v>
      </x:c>
      <x:c r="C137" s="8" t="str">
        <x:v>ITM-000136</x:v>
      </x:c>
      <x:c r="D137" s="8" t="str">
        <x:v>HUB-MAD-004</x:v>
      </x:c>
      <x:c r="E137" s="10" t="n">
        <x:v>45929.375</x:v>
      </x:c>
      <x:c r="F137" s="10" t="n">
        <x:v>45933.375</x:v>
      </x:c>
      <x:c r="G137" s="10" t="n">
        <x:v>45935.375</x:v>
      </x:c>
      <x:c r="H137" s="8" t="str">
        <x:v>returned</x:v>
      </x:c>
      <x:c r="I137" s="8" t="str"/>
      <x:c r="J137" s="10" t="n">
        <x:v>45935.375</x:v>
      </x:c>
      <x:c r="K137" s="8" t="str">
        <x:f>IF(COUNTIF('Usuarios'!$A$2:$A$61,B137)=1,"OK","ERROR")</x:f>
        <x:v>OK</x:v>
      </x:c>
      <x:c r="L137" s="8" t="str">
        <x:f>IF(COUNTIF('Objetos'!$A$2:$A$181,C137)=1,"OK","ERROR")</x:f>
        <x:v>OK</x:v>
      </x:c>
      <x:c r="M137" s="8" t="str">
        <x:f>IF(COUNTIF('Centros'!$A$2:$A$13,D137)=1,"OK","ERROR")</x:f>
        <x:v>OK</x:v>
      </x:c>
      <x:c r="N137" s="8" t="str">
        <x:f>IF(AND(G137&gt;F137,G137-F137&lt;=INDEX('Objetos'!$J$2:$J$181,MATCH(C137,'Objetos'!$A$2:$A$181,0))),"OK","ERROR")</x:f>
        <x:v>OK</x:v>
      </x:c>
    </x:row>
    <x:row r="138">
      <x:c r="A138" s="8" t="str">
        <x:v>RSV-000137</x:v>
      </x:c>
      <x:c r="B138" s="8" t="str">
        <x:v>USR-0053</x:v>
      </x:c>
      <x:c r="C138" s="8" t="str">
        <x:v>ITM-000137</x:v>
      </x:c>
      <x:c r="D138" s="8" t="str">
        <x:v>HUB-MAD-005</x:v>
      </x:c>
      <x:c r="E138" s="10" t="n">
        <x:v>45931.375</x:v>
      </x:c>
      <x:c r="F138" s="10" t="n">
        <x:v>45935.375</x:v>
      </x:c>
      <x:c r="G138" s="10" t="n">
        <x:v>45938.375</x:v>
      </x:c>
      <x:c r="H138" s="8" t="str">
        <x:v>returned</x:v>
      </x:c>
      <x:c r="I138" s="8" t="str">
        <x:v>Recogida por la tarde, si es posible.</x:v>
      </x:c>
      <x:c r="J138" s="10" t="n">
        <x:v>45938.375</x:v>
      </x:c>
      <x:c r="K138" s="8" t="str">
        <x:f>IF(COUNTIF('Usuarios'!$A$2:$A$61,B138)=1,"OK","ERROR")</x:f>
        <x:v>OK</x:v>
      </x:c>
      <x:c r="L138" s="8" t="str">
        <x:f>IF(COUNTIF('Objetos'!$A$2:$A$181,C138)=1,"OK","ERROR")</x:f>
        <x:v>OK</x:v>
      </x:c>
      <x:c r="M138" s="8" t="str">
        <x:f>IF(COUNTIF('Centros'!$A$2:$A$13,D138)=1,"OK","ERROR")</x:f>
        <x:v>OK</x:v>
      </x:c>
      <x:c r="N138" s="8" t="str">
        <x:f>IF(AND(G138&gt;F138,G138-F138&lt;=INDEX('Objetos'!$J$2:$J$181,MATCH(C138,'Objetos'!$A$2:$A$181,0))),"OK","ERROR")</x:f>
        <x:v>OK</x:v>
      </x:c>
    </x:row>
    <x:row r="139">
      <x:c r="A139" s="8" t="str">
        <x:v>RSV-000138</x:v>
      </x:c>
      <x:c r="B139" s="8" t="str">
        <x:v>USR-0060</x:v>
      </x:c>
      <x:c r="C139" s="8" t="str">
        <x:v>ITM-000138</x:v>
      </x:c>
      <x:c r="D139" s="8" t="str">
        <x:v>HUB-MAD-006</x:v>
      </x:c>
      <x:c r="E139" s="10" t="n">
        <x:v>45933.375</x:v>
      </x:c>
      <x:c r="F139" s="10" t="n">
        <x:v>45937.375</x:v>
      </x:c>
      <x:c r="G139" s="10" t="n">
        <x:v>45941.375</x:v>
      </x:c>
      <x:c r="H139" s="8" t="str">
        <x:v>returned</x:v>
      </x:c>
      <x:c r="I139" s="8" t="str"/>
      <x:c r="J139" s="10" t="n">
        <x:v>45941.375</x:v>
      </x:c>
      <x:c r="K139" s="8" t="str">
        <x:f>IF(COUNTIF('Usuarios'!$A$2:$A$61,B139)=1,"OK","ERROR")</x:f>
        <x:v>OK</x:v>
      </x:c>
      <x:c r="L139" s="8" t="str">
        <x:f>IF(COUNTIF('Objetos'!$A$2:$A$181,C139)=1,"OK","ERROR")</x:f>
        <x:v>OK</x:v>
      </x:c>
      <x:c r="M139" s="8" t="str">
        <x:f>IF(COUNTIF('Centros'!$A$2:$A$13,D139)=1,"OK","ERROR")</x:f>
        <x:v>OK</x:v>
      </x:c>
      <x:c r="N139" s="8" t="str">
        <x:f>IF(AND(G139&gt;F139,G139-F139&lt;=INDEX('Objetos'!$J$2:$J$181,MATCH(C139,'Objetos'!$A$2:$A$181,0))),"OK","ERROR")</x:f>
        <x:v>OK</x:v>
      </x:c>
    </x:row>
    <x:row r="140">
      <x:c r="A140" s="8" t="str">
        <x:v>RSV-000139</x:v>
      </x:c>
      <x:c r="B140" s="8" t="str">
        <x:v>USR-0007</x:v>
      </x:c>
      <x:c r="C140" s="8" t="str">
        <x:v>ITM-000139</x:v>
      </x:c>
      <x:c r="D140" s="8" t="str">
        <x:v>HUB-MAD-007</x:v>
      </x:c>
      <x:c r="E140" s="10" t="n">
        <x:v>45935.375</x:v>
      </x:c>
      <x:c r="F140" s="10" t="n">
        <x:v>45939.375</x:v>
      </x:c>
      <x:c r="G140" s="10" t="n">
        <x:v>45941.375</x:v>
      </x:c>
      <x:c r="H140" s="8" t="str">
        <x:v>returned</x:v>
      </x:c>
      <x:c r="I140" s="8" t="str"/>
      <x:c r="J140" s="10" t="n">
        <x:v>45941.375</x:v>
      </x:c>
      <x:c r="K140" s="8" t="str">
        <x:f>IF(COUNTIF('Usuarios'!$A$2:$A$61,B140)=1,"OK","ERROR")</x:f>
        <x:v>OK</x:v>
      </x:c>
      <x:c r="L140" s="8" t="str">
        <x:f>IF(COUNTIF('Objetos'!$A$2:$A$181,C140)=1,"OK","ERROR")</x:f>
        <x:v>OK</x:v>
      </x:c>
      <x:c r="M140" s="8" t="str">
        <x:f>IF(COUNTIF('Centros'!$A$2:$A$13,D140)=1,"OK","ERROR")</x:f>
        <x:v>OK</x:v>
      </x:c>
      <x:c r="N140" s="8" t="str">
        <x:f>IF(AND(G140&gt;F140,G140-F140&lt;=INDEX('Objetos'!$J$2:$J$181,MATCH(C140,'Objetos'!$A$2:$A$181,0))),"OK","ERROR")</x:f>
        <x:v>OK</x:v>
      </x:c>
    </x:row>
    <x:row r="141">
      <x:c r="A141" s="8" t="str">
        <x:v>RSV-000140</x:v>
      </x:c>
      <x:c r="B141" s="8" t="str">
        <x:v>USR-0014</x:v>
      </x:c>
      <x:c r="C141" s="8" t="str">
        <x:v>ITM-000140</x:v>
      </x:c>
      <x:c r="D141" s="8" t="str">
        <x:v>HUB-MAD-008</x:v>
      </x:c>
      <x:c r="E141" s="10" t="n">
        <x:v>45937.375</x:v>
      </x:c>
      <x:c r="F141" s="10" t="n">
        <x:v>45941.375</x:v>
      </x:c>
      <x:c r="G141" s="10" t="n">
        <x:v>45944.375</x:v>
      </x:c>
      <x:c r="H141" s="8" t="str">
        <x:v>returned</x:v>
      </x:c>
      <x:c r="I141" s="8" t="str"/>
      <x:c r="J141" s="10" t="n">
        <x:v>45944.375</x:v>
      </x:c>
      <x:c r="K141" s="8" t="str">
        <x:f>IF(COUNTIF('Usuarios'!$A$2:$A$61,B141)=1,"OK","ERROR")</x:f>
        <x:v>OK</x:v>
      </x:c>
      <x:c r="L141" s="8" t="str">
        <x:f>IF(COUNTIF('Objetos'!$A$2:$A$181,C141)=1,"OK","ERROR")</x:f>
        <x:v>OK</x:v>
      </x:c>
      <x:c r="M141" s="8" t="str">
        <x:f>IF(COUNTIF('Centros'!$A$2:$A$13,D141)=1,"OK","ERROR")</x:f>
        <x:v>OK</x:v>
      </x:c>
      <x:c r="N141" s="8" t="str">
        <x:f>IF(AND(G141&gt;F141,G141-F141&lt;=INDEX('Objetos'!$J$2:$J$181,MATCH(C141,'Objetos'!$A$2:$A$181,0))),"OK","ERROR")</x:f>
        <x:v>OK</x:v>
      </x:c>
    </x:row>
    <x:row r="142">
      <x:c r="A142" s="8" t="str">
        <x:v>RSV-000141</x:v>
      </x:c>
      <x:c r="B142" s="8" t="str">
        <x:v>USR-0021</x:v>
      </x:c>
      <x:c r="C142" s="8" t="str">
        <x:v>ITM-000141</x:v>
      </x:c>
      <x:c r="D142" s="8" t="str">
        <x:v>HUB-MAD-009</x:v>
      </x:c>
      <x:c r="E142" s="10" t="n">
        <x:v>45939.375</x:v>
      </x:c>
      <x:c r="F142" s="10" t="n">
        <x:v>45943.375</x:v>
      </x:c>
      <x:c r="G142" s="10" t="n">
        <x:v>45946.375</x:v>
      </x:c>
      <x:c r="H142" s="8" t="str">
        <x:v>returned</x:v>
      </x:c>
      <x:c r="I142" s="8" t="str">
        <x:v>Recogida por la tarde, si es posible.</x:v>
      </x:c>
      <x:c r="J142" s="10" t="n">
        <x:v>45946.375</x:v>
      </x:c>
      <x:c r="K142" s="8" t="str">
        <x:f>IF(COUNTIF('Usuarios'!$A$2:$A$61,B142)=1,"OK","ERROR")</x:f>
        <x:v>OK</x:v>
      </x:c>
      <x:c r="L142" s="8" t="str">
        <x:f>IF(COUNTIF('Objetos'!$A$2:$A$181,C142)=1,"OK","ERROR")</x:f>
        <x:v>OK</x:v>
      </x:c>
      <x:c r="M142" s="8" t="str">
        <x:f>IF(COUNTIF('Centros'!$A$2:$A$13,D142)=1,"OK","ERROR")</x:f>
        <x:v>OK</x:v>
      </x:c>
      <x:c r="N142" s="8" t="str">
        <x:f>IF(AND(G142&gt;F142,G142-F142&lt;=INDEX('Objetos'!$J$2:$J$181,MATCH(C142,'Objetos'!$A$2:$A$181,0))),"OK","ERROR")</x:f>
        <x:v>OK</x:v>
      </x:c>
    </x:row>
    <x:row r="143">
      <x:c r="A143" s="8" t="str">
        <x:v>RSV-000142</x:v>
      </x:c>
      <x:c r="B143" s="8" t="str">
        <x:v>USR-0028</x:v>
      </x:c>
      <x:c r="C143" s="8" t="str">
        <x:v>ITM-000142</x:v>
      </x:c>
      <x:c r="D143" s="8" t="str">
        <x:v>HUB-MAD-010</x:v>
      </x:c>
      <x:c r="E143" s="10" t="n">
        <x:v>45941.375</x:v>
      </x:c>
      <x:c r="F143" s="10" t="n">
        <x:v>45945.375</x:v>
      </x:c>
      <x:c r="G143" s="10" t="n">
        <x:v>45947.375</x:v>
      </x:c>
      <x:c r="H143" s="8" t="str">
        <x:v>returned</x:v>
      </x:c>
      <x:c r="I143" s="8" t="str"/>
      <x:c r="J143" s="10" t="n">
        <x:v>45947.375</x:v>
      </x:c>
      <x:c r="K143" s="8" t="str">
        <x:f>IF(COUNTIF('Usuarios'!$A$2:$A$61,B143)=1,"OK","ERROR")</x:f>
        <x:v>OK</x:v>
      </x:c>
      <x:c r="L143" s="8" t="str">
        <x:f>IF(COUNTIF('Objetos'!$A$2:$A$181,C143)=1,"OK","ERROR")</x:f>
        <x:v>OK</x:v>
      </x:c>
      <x:c r="M143" s="8" t="str">
        <x:f>IF(COUNTIF('Centros'!$A$2:$A$13,D143)=1,"OK","ERROR")</x:f>
        <x:v>OK</x:v>
      </x:c>
      <x:c r="N143" s="8" t="str">
        <x:f>IF(AND(G143&gt;F143,G143-F143&lt;=INDEX('Objetos'!$J$2:$J$181,MATCH(C143,'Objetos'!$A$2:$A$181,0))),"OK","ERROR")</x:f>
        <x:v>OK</x:v>
      </x:c>
    </x:row>
    <x:row r="144">
      <x:c r="A144" s="8" t="str">
        <x:v>RSV-000143</x:v>
      </x:c>
      <x:c r="B144" s="8" t="str">
        <x:v>USR-0035</x:v>
      </x:c>
      <x:c r="C144" s="8" t="str">
        <x:v>ITM-000143</x:v>
      </x:c>
      <x:c r="D144" s="8" t="str">
        <x:v>HUB-MAD-011</x:v>
      </x:c>
      <x:c r="E144" s="10" t="n">
        <x:v>45943.375</x:v>
      </x:c>
      <x:c r="F144" s="10" t="n">
        <x:v>45947.375</x:v>
      </x:c>
      <x:c r="G144" s="10" t="n">
        <x:v>45950.375</x:v>
      </x:c>
      <x:c r="H144" s="8" t="str">
        <x:v>returned</x:v>
      </x:c>
      <x:c r="I144" s="8" t="str"/>
      <x:c r="J144" s="10" t="n">
        <x:v>45950.375</x:v>
      </x:c>
      <x:c r="K144" s="8" t="str">
        <x:f>IF(COUNTIF('Usuarios'!$A$2:$A$61,B144)=1,"OK","ERROR")</x:f>
        <x:v>OK</x:v>
      </x:c>
      <x:c r="L144" s="8" t="str">
        <x:f>IF(COUNTIF('Objetos'!$A$2:$A$181,C144)=1,"OK","ERROR")</x:f>
        <x:v>OK</x:v>
      </x:c>
      <x:c r="M144" s="8" t="str">
        <x:f>IF(COUNTIF('Centros'!$A$2:$A$13,D144)=1,"OK","ERROR")</x:f>
        <x:v>OK</x:v>
      </x:c>
      <x:c r="N144" s="8" t="str">
        <x:f>IF(AND(G144&gt;F144,G144-F144&lt;=INDEX('Objetos'!$J$2:$J$181,MATCH(C144,'Objetos'!$A$2:$A$181,0))),"OK","ERROR")</x:f>
        <x:v>OK</x:v>
      </x:c>
    </x:row>
    <x:row r="145">
      <x:c r="A145" s="8" t="str">
        <x:v>RSV-000144</x:v>
      </x:c>
      <x:c r="B145" s="8" t="str">
        <x:v>USR-0042</x:v>
      </x:c>
      <x:c r="C145" s="8" t="str">
        <x:v>ITM-000144</x:v>
      </x:c>
      <x:c r="D145" s="8" t="str">
        <x:v>HUB-MAD-012</x:v>
      </x:c>
      <x:c r="E145" s="10" t="n">
        <x:v>45945.375</x:v>
      </x:c>
      <x:c r="F145" s="10" t="n">
        <x:v>45949.375</x:v>
      </x:c>
      <x:c r="G145" s="10" t="n">
        <x:v>45953.375</x:v>
      </x:c>
      <x:c r="H145" s="8" t="str">
        <x:v>returned</x:v>
      </x:c>
      <x:c r="I145" s="8" t="str"/>
      <x:c r="J145" s="10" t="n">
        <x:v>45953.375</x:v>
      </x:c>
      <x:c r="K145" s="8" t="str">
        <x:f>IF(COUNTIF('Usuarios'!$A$2:$A$61,B145)=1,"OK","ERROR")</x:f>
        <x:v>OK</x:v>
      </x:c>
      <x:c r="L145" s="8" t="str">
        <x:f>IF(COUNTIF('Objetos'!$A$2:$A$181,C145)=1,"OK","ERROR")</x:f>
        <x:v>OK</x:v>
      </x:c>
      <x:c r="M145" s="8" t="str">
        <x:f>IF(COUNTIF('Centros'!$A$2:$A$13,D145)=1,"OK","ERROR")</x:f>
        <x:v>OK</x:v>
      </x:c>
      <x:c r="N145" s="8" t="str">
        <x:f>IF(AND(G145&gt;F145,G145-F145&lt;=INDEX('Objetos'!$J$2:$J$181,MATCH(C145,'Objetos'!$A$2:$A$181,0))),"OK","ERROR")</x:f>
        <x:v>OK</x:v>
      </x:c>
    </x:row>
    <x:row r="146">
      <x:c r="A146" s="8" t="str">
        <x:v>RSV-000145</x:v>
      </x:c>
      <x:c r="B146" s="8" t="str">
        <x:v>USR-0049</x:v>
      </x:c>
      <x:c r="C146" s="8" t="str">
        <x:v>ITM-000145</x:v>
      </x:c>
      <x:c r="D146" s="8" t="str">
        <x:v>HUB-MAD-001</x:v>
      </x:c>
      <x:c r="E146" s="10" t="n">
        <x:v>45947.375</x:v>
      </x:c>
      <x:c r="F146" s="10" t="n">
        <x:v>45951.375</x:v>
      </x:c>
      <x:c r="G146" s="10" t="n">
        <x:v>45953.375</x:v>
      </x:c>
      <x:c r="H146" s="8" t="str">
        <x:v>returned</x:v>
      </x:c>
      <x:c r="I146" s="8" t="str">
        <x:v>Recogida por la tarde, si es posible.</x:v>
      </x:c>
      <x:c r="J146" s="10" t="n">
        <x:v>45953.375</x:v>
      </x:c>
      <x:c r="K146" s="8" t="str">
        <x:f>IF(COUNTIF('Usuarios'!$A$2:$A$61,B146)=1,"OK","ERROR")</x:f>
        <x:v>OK</x:v>
      </x:c>
      <x:c r="L146" s="8" t="str">
        <x:f>IF(COUNTIF('Objetos'!$A$2:$A$181,C146)=1,"OK","ERROR")</x:f>
        <x:v>OK</x:v>
      </x:c>
      <x:c r="M146" s="8" t="str">
        <x:f>IF(COUNTIF('Centros'!$A$2:$A$13,D146)=1,"OK","ERROR")</x:f>
        <x:v>OK</x:v>
      </x:c>
      <x:c r="N146" s="8" t="str">
        <x:f>IF(AND(G146&gt;F146,G146-F146&lt;=INDEX('Objetos'!$J$2:$J$181,MATCH(C146,'Objetos'!$A$2:$A$181,0))),"OK","ERROR")</x:f>
        <x:v>OK</x:v>
      </x:c>
    </x:row>
    <x:row r="147">
      <x:c r="A147" s="8" t="str">
        <x:v>RSV-000146</x:v>
      </x:c>
      <x:c r="B147" s="8" t="str">
        <x:v>USR-0056</x:v>
      </x:c>
      <x:c r="C147" s="8" t="str">
        <x:v>ITM-000146</x:v>
      </x:c>
      <x:c r="D147" s="8" t="str">
        <x:v>HUB-MAD-002</x:v>
      </x:c>
      <x:c r="E147" s="10" t="n">
        <x:v>45949.375</x:v>
      </x:c>
      <x:c r="F147" s="10" t="n">
        <x:v>45953.375</x:v>
      </x:c>
      <x:c r="G147" s="10" t="n">
        <x:v>45956.375</x:v>
      </x:c>
      <x:c r="H147" s="8" t="str">
        <x:v>returned</x:v>
      </x:c>
      <x:c r="I147" s="8" t="str"/>
      <x:c r="J147" s="10" t="n">
        <x:v>45956.375</x:v>
      </x:c>
      <x:c r="K147" s="8" t="str">
        <x:f>IF(COUNTIF('Usuarios'!$A$2:$A$61,B147)=1,"OK","ERROR")</x:f>
        <x:v>OK</x:v>
      </x:c>
      <x:c r="L147" s="8" t="str">
        <x:f>IF(COUNTIF('Objetos'!$A$2:$A$181,C147)=1,"OK","ERROR")</x:f>
        <x:v>OK</x:v>
      </x:c>
      <x:c r="M147" s="8" t="str">
        <x:f>IF(COUNTIF('Centros'!$A$2:$A$13,D147)=1,"OK","ERROR")</x:f>
        <x:v>OK</x:v>
      </x:c>
      <x:c r="N147" s="8" t="str">
        <x:f>IF(AND(G147&gt;F147,G147-F147&lt;=INDEX('Objetos'!$J$2:$J$181,MATCH(C147,'Objetos'!$A$2:$A$181,0))),"OK","ERROR")</x:f>
        <x:v>OK</x:v>
      </x:c>
    </x:row>
    <x:row r="148">
      <x:c r="A148" s="8" t="str">
        <x:v>RSV-000147</x:v>
      </x:c>
      <x:c r="B148" s="8" t="str">
        <x:v>USR-0003</x:v>
      </x:c>
      <x:c r="C148" s="8" t="str">
        <x:v>ITM-000147</x:v>
      </x:c>
      <x:c r="D148" s="8" t="str">
        <x:v>HUB-MAD-003</x:v>
      </x:c>
      <x:c r="E148" s="10" t="n">
        <x:v>45951.375</x:v>
      </x:c>
      <x:c r="F148" s="10" t="n">
        <x:v>45955.375</x:v>
      </x:c>
      <x:c r="G148" s="10" t="n">
        <x:v>45959.375</x:v>
      </x:c>
      <x:c r="H148" s="8" t="str">
        <x:v>returned</x:v>
      </x:c>
      <x:c r="I148" s="8" t="str"/>
      <x:c r="J148" s="10" t="n">
        <x:v>45959.375</x:v>
      </x:c>
      <x:c r="K148" s="8" t="str">
        <x:f>IF(COUNTIF('Usuarios'!$A$2:$A$61,B148)=1,"OK","ERROR")</x:f>
        <x:v>OK</x:v>
      </x:c>
      <x:c r="L148" s="8" t="str">
        <x:f>IF(COUNTIF('Objetos'!$A$2:$A$181,C148)=1,"OK","ERROR")</x:f>
        <x:v>OK</x:v>
      </x:c>
      <x:c r="M148" s="8" t="str">
        <x:f>IF(COUNTIF('Centros'!$A$2:$A$13,D148)=1,"OK","ERROR")</x:f>
        <x:v>OK</x:v>
      </x:c>
      <x:c r="N148" s="8" t="str">
        <x:f>IF(AND(G148&gt;F148,G148-F148&lt;=INDEX('Objetos'!$J$2:$J$181,MATCH(C148,'Objetos'!$A$2:$A$181,0))),"OK","ERROR")</x:f>
        <x:v>OK</x:v>
      </x:c>
    </x:row>
    <x:row r="149">
      <x:c r="A149" s="8" t="str">
        <x:v>RSV-000148</x:v>
      </x:c>
      <x:c r="B149" s="8" t="str">
        <x:v>USR-0010</x:v>
      </x:c>
      <x:c r="C149" s="8" t="str">
        <x:v>ITM-000148</x:v>
      </x:c>
      <x:c r="D149" s="8" t="str">
        <x:v>HUB-MAD-004</x:v>
      </x:c>
      <x:c r="E149" s="10" t="n">
        <x:v>45953.375</x:v>
      </x:c>
      <x:c r="F149" s="10" t="n">
        <x:v>45957.375</x:v>
      </x:c>
      <x:c r="G149" s="10" t="n">
        <x:v>45959.375</x:v>
      </x:c>
      <x:c r="H149" s="8" t="str">
        <x:v>returned</x:v>
      </x:c>
      <x:c r="I149" s="8" t="str"/>
      <x:c r="J149" s="10" t="n">
        <x:v>45959.375</x:v>
      </x:c>
      <x:c r="K149" s="8" t="str">
        <x:f>IF(COUNTIF('Usuarios'!$A$2:$A$61,B149)=1,"OK","ERROR")</x:f>
        <x:v>OK</x:v>
      </x:c>
      <x:c r="L149" s="8" t="str">
        <x:f>IF(COUNTIF('Objetos'!$A$2:$A$181,C149)=1,"OK","ERROR")</x:f>
        <x:v>OK</x:v>
      </x:c>
      <x:c r="M149" s="8" t="str">
        <x:f>IF(COUNTIF('Centros'!$A$2:$A$13,D149)=1,"OK","ERROR")</x:f>
        <x:v>OK</x:v>
      </x:c>
      <x:c r="N149" s="8" t="str">
        <x:f>IF(AND(G149&gt;F149,G149-F149&lt;=INDEX('Objetos'!$J$2:$J$181,MATCH(C149,'Objetos'!$A$2:$A$181,0))),"OK","ERROR")</x:f>
        <x:v>OK</x:v>
      </x:c>
    </x:row>
    <x:row r="150">
      <x:c r="A150" s="8" t="str">
        <x:v>RSV-000149</x:v>
      </x:c>
      <x:c r="B150" s="8" t="str">
        <x:v>USR-0017</x:v>
      </x:c>
      <x:c r="C150" s="8" t="str">
        <x:v>ITM-000149</x:v>
      </x:c>
      <x:c r="D150" s="8" t="str">
        <x:v>HUB-MAD-005</x:v>
      </x:c>
      <x:c r="E150" s="10" t="n">
        <x:v>45955.375</x:v>
      </x:c>
      <x:c r="F150" s="10" t="n">
        <x:v>45959.375</x:v>
      </x:c>
      <x:c r="G150" s="10" t="n">
        <x:v>45962.375</x:v>
      </x:c>
      <x:c r="H150" s="8" t="str">
        <x:v>returned</x:v>
      </x:c>
      <x:c r="I150" s="8" t="str">
        <x:v>Recogida por la tarde, si es posible.</x:v>
      </x:c>
      <x:c r="J150" s="10" t="n">
        <x:v>45962.375</x:v>
      </x:c>
      <x:c r="K150" s="8" t="str">
        <x:f>IF(COUNTIF('Usuarios'!$A$2:$A$61,B150)=1,"OK","ERROR")</x:f>
        <x:v>OK</x:v>
      </x:c>
      <x:c r="L150" s="8" t="str">
        <x:f>IF(COUNTIF('Objetos'!$A$2:$A$181,C150)=1,"OK","ERROR")</x:f>
        <x:v>OK</x:v>
      </x:c>
      <x:c r="M150" s="8" t="str">
        <x:f>IF(COUNTIF('Centros'!$A$2:$A$13,D150)=1,"OK","ERROR")</x:f>
        <x:v>OK</x:v>
      </x:c>
      <x:c r="N150" s="8" t="str">
        <x:f>IF(AND(G150&gt;F150,G150-F150&lt;=INDEX('Objetos'!$J$2:$J$181,MATCH(C150,'Objetos'!$A$2:$A$181,0))),"OK","ERROR")</x:f>
        <x:v>OK</x:v>
      </x:c>
    </x:row>
    <x:row r="151">
      <x:c r="A151" s="8" t="str">
        <x:v>RSV-000150</x:v>
      </x:c>
      <x:c r="B151" s="8" t="str">
        <x:v>USR-0024</x:v>
      </x:c>
      <x:c r="C151" s="8" t="str">
        <x:v>ITM-000150</x:v>
      </x:c>
      <x:c r="D151" s="8" t="str">
        <x:v>HUB-MAD-006</x:v>
      </x:c>
      <x:c r="E151" s="10" t="n">
        <x:v>45957.375</x:v>
      </x:c>
      <x:c r="F151" s="10" t="n">
        <x:v>45961.375</x:v>
      </x:c>
      <x:c r="G151" s="10" t="n">
        <x:v>45965.375</x:v>
      </x:c>
      <x:c r="H151" s="8" t="str">
        <x:v>returned</x:v>
      </x:c>
      <x:c r="I151" s="8" t="str"/>
      <x:c r="J151" s="10" t="n">
        <x:v>45965.375</x:v>
      </x:c>
      <x:c r="K151" s="8" t="str">
        <x:f>IF(COUNTIF('Usuarios'!$A$2:$A$61,B151)=1,"OK","ERROR")</x:f>
        <x:v>OK</x:v>
      </x:c>
      <x:c r="L151" s="8" t="str">
        <x:f>IF(COUNTIF('Objetos'!$A$2:$A$181,C151)=1,"OK","ERROR")</x:f>
        <x:v>OK</x:v>
      </x:c>
      <x:c r="M151" s="8" t="str">
        <x:f>IF(COUNTIF('Centros'!$A$2:$A$13,D151)=1,"OK","ERROR")</x:f>
        <x:v>OK</x:v>
      </x:c>
      <x:c r="N151" s="8" t="str">
        <x:f>IF(AND(G151&gt;F151,G151-F151&lt;=INDEX('Objetos'!$J$2:$J$181,MATCH(C151,'Objetos'!$A$2:$A$181,0))),"OK","ERROR")</x:f>
        <x:v>OK</x:v>
      </x:c>
    </x:row>
    <x:row r="152">
      <x:c r="A152" s="8" t="str">
        <x:v>RSV-000151</x:v>
      </x:c>
      <x:c r="B152" s="8" t="str">
        <x:v>USR-0031</x:v>
      </x:c>
      <x:c r="C152" s="8" t="str">
        <x:v>ITM-000151</x:v>
      </x:c>
      <x:c r="D152" s="8" t="str">
        <x:v>HUB-MAD-007</x:v>
      </x:c>
      <x:c r="E152" s="10" t="n">
        <x:v>45959.375</x:v>
      </x:c>
      <x:c r="F152" s="10" t="n">
        <x:v>45963.375</x:v>
      </x:c>
      <x:c r="G152" s="10" t="n">
        <x:v>45965.375</x:v>
      </x:c>
      <x:c r="H152" s="8" t="str">
        <x:v>returned</x:v>
      </x:c>
      <x:c r="I152" s="8" t="str"/>
      <x:c r="J152" s="10" t="n">
        <x:v>45965.375</x:v>
      </x:c>
      <x:c r="K152" s="8" t="str">
        <x:f>IF(COUNTIF('Usuarios'!$A$2:$A$61,B152)=1,"OK","ERROR")</x:f>
        <x:v>OK</x:v>
      </x:c>
      <x:c r="L152" s="8" t="str">
        <x:f>IF(COUNTIF('Objetos'!$A$2:$A$181,C152)=1,"OK","ERROR")</x:f>
        <x:v>OK</x:v>
      </x:c>
      <x:c r="M152" s="8" t="str">
        <x:f>IF(COUNTIF('Centros'!$A$2:$A$13,D152)=1,"OK","ERROR")</x:f>
        <x:v>OK</x:v>
      </x:c>
      <x:c r="N152" s="8" t="str">
        <x:f>IF(AND(G152&gt;F152,G152-F152&lt;=INDEX('Objetos'!$J$2:$J$181,MATCH(C152,'Objetos'!$A$2:$A$181,0))),"OK","ERROR")</x:f>
        <x:v>OK</x:v>
      </x:c>
    </x:row>
    <x:row r="153">
      <x:c r="A153" s="8" t="str">
        <x:v>RSV-000152</x:v>
      </x:c>
      <x:c r="B153" s="8" t="str">
        <x:v>USR-0038</x:v>
      </x:c>
      <x:c r="C153" s="8" t="str">
        <x:v>ITM-000152</x:v>
      </x:c>
      <x:c r="D153" s="8" t="str">
        <x:v>HUB-MAD-008</x:v>
      </x:c>
      <x:c r="E153" s="10" t="n">
        <x:v>45961.375</x:v>
      </x:c>
      <x:c r="F153" s="10" t="n">
        <x:v>45965.375</x:v>
      </x:c>
      <x:c r="G153" s="10" t="n">
        <x:v>45968.375</x:v>
      </x:c>
      <x:c r="H153" s="8" t="str">
        <x:v>returned</x:v>
      </x:c>
      <x:c r="I153" s="8" t="str"/>
      <x:c r="J153" s="10" t="n">
        <x:v>45968.375</x:v>
      </x:c>
      <x:c r="K153" s="8" t="str">
        <x:f>IF(COUNTIF('Usuarios'!$A$2:$A$61,B153)=1,"OK","ERROR")</x:f>
        <x:v>OK</x:v>
      </x:c>
      <x:c r="L153" s="8" t="str">
        <x:f>IF(COUNTIF('Objetos'!$A$2:$A$181,C153)=1,"OK","ERROR")</x:f>
        <x:v>OK</x:v>
      </x:c>
      <x:c r="M153" s="8" t="str">
        <x:f>IF(COUNTIF('Centros'!$A$2:$A$13,D153)=1,"OK","ERROR")</x:f>
        <x:v>OK</x:v>
      </x:c>
      <x:c r="N153" s="8" t="str">
        <x:f>IF(AND(G153&gt;F153,G153-F153&lt;=INDEX('Objetos'!$J$2:$J$181,MATCH(C153,'Objetos'!$A$2:$A$181,0))),"OK","ERROR")</x:f>
        <x:v>OK</x:v>
      </x:c>
    </x:row>
    <x:row r="154">
      <x:c r="A154" s="8" t="str">
        <x:v>RSV-000153</x:v>
      </x:c>
      <x:c r="B154" s="8" t="str">
        <x:v>USR-0045</x:v>
      </x:c>
      <x:c r="C154" s="8" t="str">
        <x:v>ITM-000153</x:v>
      </x:c>
      <x:c r="D154" s="8" t="str">
        <x:v>HUB-MAD-009</x:v>
      </x:c>
      <x:c r="E154" s="10" t="n">
        <x:v>45963.375</x:v>
      </x:c>
      <x:c r="F154" s="10" t="n">
        <x:v>45967.375</x:v>
      </x:c>
      <x:c r="G154" s="10" t="n">
        <x:v>45971.375</x:v>
      </x:c>
      <x:c r="H154" s="8" t="str">
        <x:v>returned</x:v>
      </x:c>
      <x:c r="I154" s="8" t="str">
        <x:v>Recogida por la tarde, si es posible.</x:v>
      </x:c>
      <x:c r="J154" s="10" t="n">
        <x:v>45971.375</x:v>
      </x:c>
      <x:c r="K154" s="8" t="str">
        <x:f>IF(COUNTIF('Usuarios'!$A$2:$A$61,B154)=1,"OK","ERROR")</x:f>
        <x:v>OK</x:v>
      </x:c>
      <x:c r="L154" s="8" t="str">
        <x:f>IF(COUNTIF('Objetos'!$A$2:$A$181,C154)=1,"OK","ERROR")</x:f>
        <x:v>OK</x:v>
      </x:c>
      <x:c r="M154" s="8" t="str">
        <x:f>IF(COUNTIF('Centros'!$A$2:$A$13,D154)=1,"OK","ERROR")</x:f>
        <x:v>OK</x:v>
      </x:c>
      <x:c r="N154" s="8" t="str">
        <x:f>IF(AND(G154&gt;F154,G154-F154&lt;=INDEX('Objetos'!$J$2:$J$181,MATCH(C154,'Objetos'!$A$2:$A$181,0))),"OK","ERROR")</x:f>
        <x:v>OK</x:v>
      </x:c>
    </x:row>
    <x:row r="155">
      <x:c r="A155" s="8" t="str">
        <x:v>RSV-000154</x:v>
      </x:c>
      <x:c r="B155" s="8" t="str">
        <x:v>USR-0052</x:v>
      </x:c>
      <x:c r="C155" s="8" t="str">
        <x:v>ITM-000154</x:v>
      </x:c>
      <x:c r="D155" s="8" t="str">
        <x:v>HUB-MAD-010</x:v>
      </x:c>
      <x:c r="E155" s="10" t="n">
        <x:v>45965.375</x:v>
      </x:c>
      <x:c r="F155" s="10" t="n">
        <x:v>45969.375</x:v>
      </x:c>
      <x:c r="G155" s="10" t="n">
        <x:v>45971.375</x:v>
      </x:c>
      <x:c r="H155" s="8" t="str">
        <x:v>returned</x:v>
      </x:c>
      <x:c r="I155" s="8" t="str"/>
      <x:c r="J155" s="10" t="n">
        <x:v>45971.375</x:v>
      </x:c>
      <x:c r="K155" s="8" t="str">
        <x:f>IF(COUNTIF('Usuarios'!$A$2:$A$61,B155)=1,"OK","ERROR")</x:f>
        <x:v>OK</x:v>
      </x:c>
      <x:c r="L155" s="8" t="str">
        <x:f>IF(COUNTIF('Objetos'!$A$2:$A$181,C155)=1,"OK","ERROR")</x:f>
        <x:v>OK</x:v>
      </x:c>
      <x:c r="M155" s="8" t="str">
        <x:f>IF(COUNTIF('Centros'!$A$2:$A$13,D155)=1,"OK","ERROR")</x:f>
        <x:v>OK</x:v>
      </x:c>
      <x:c r="N155" s="8" t="str">
        <x:f>IF(AND(G155&gt;F155,G155-F155&lt;=INDEX('Objetos'!$J$2:$J$181,MATCH(C155,'Objetos'!$A$2:$A$181,0))),"OK","ERROR")</x:f>
        <x:v>OK</x:v>
      </x:c>
    </x:row>
    <x:row r="156">
      <x:c r="A156" s="8" t="str">
        <x:v>RSV-000155</x:v>
      </x:c>
      <x:c r="B156" s="8" t="str">
        <x:v>USR-0059</x:v>
      </x:c>
      <x:c r="C156" s="8" t="str">
        <x:v>ITM-000155</x:v>
      </x:c>
      <x:c r="D156" s="8" t="str">
        <x:v>HUB-MAD-011</x:v>
      </x:c>
      <x:c r="E156" s="10" t="n">
        <x:v>45967.375</x:v>
      </x:c>
      <x:c r="F156" s="10" t="n">
        <x:v>45971.375</x:v>
      </x:c>
      <x:c r="G156" s="10" t="n">
        <x:v>45974.375</x:v>
      </x:c>
      <x:c r="H156" s="8" t="str">
        <x:v>returned</x:v>
      </x:c>
      <x:c r="I156" s="8" t="str"/>
      <x:c r="J156" s="10" t="n">
        <x:v>45974.375</x:v>
      </x:c>
      <x:c r="K156" s="8" t="str">
        <x:f>IF(COUNTIF('Usuarios'!$A$2:$A$61,B156)=1,"OK","ERROR")</x:f>
        <x:v>OK</x:v>
      </x:c>
      <x:c r="L156" s="8" t="str">
        <x:f>IF(COUNTIF('Objetos'!$A$2:$A$181,C156)=1,"OK","ERROR")</x:f>
        <x:v>OK</x:v>
      </x:c>
      <x:c r="M156" s="8" t="str">
        <x:f>IF(COUNTIF('Centros'!$A$2:$A$13,D156)=1,"OK","ERROR")</x:f>
        <x:v>OK</x:v>
      </x:c>
      <x:c r="N156" s="8" t="str">
        <x:f>IF(AND(G156&gt;F156,G156-F156&lt;=INDEX('Objetos'!$J$2:$J$181,MATCH(C156,'Objetos'!$A$2:$A$181,0))),"OK","ERROR")</x:f>
        <x:v>OK</x:v>
      </x:c>
    </x:row>
    <x:row r="157">
      <x:c r="A157" s="8" t="str">
        <x:v>RSV-000156</x:v>
      </x:c>
      <x:c r="B157" s="8" t="str">
        <x:v>USR-0006</x:v>
      </x:c>
      <x:c r="C157" s="8" t="str">
        <x:v>ITM-000156</x:v>
      </x:c>
      <x:c r="D157" s="8" t="str">
        <x:v>HUB-MAD-012</x:v>
      </x:c>
      <x:c r="E157" s="10" t="n">
        <x:v>45969.375</x:v>
      </x:c>
      <x:c r="F157" s="10" t="n">
        <x:v>45973.375</x:v>
      </x:c>
      <x:c r="G157" s="10" t="n">
        <x:v>45976.375</x:v>
      </x:c>
      <x:c r="H157" s="8" t="str">
        <x:v>returned</x:v>
      </x:c>
      <x:c r="I157" s="8" t="str"/>
      <x:c r="J157" s="10" t="n">
        <x:v>45976.375</x:v>
      </x:c>
      <x:c r="K157" s="8" t="str">
        <x:f>IF(COUNTIF('Usuarios'!$A$2:$A$61,B157)=1,"OK","ERROR")</x:f>
        <x:v>OK</x:v>
      </x:c>
      <x:c r="L157" s="8" t="str">
        <x:f>IF(COUNTIF('Objetos'!$A$2:$A$181,C157)=1,"OK","ERROR")</x:f>
        <x:v>OK</x:v>
      </x:c>
      <x:c r="M157" s="8" t="str">
        <x:f>IF(COUNTIF('Centros'!$A$2:$A$13,D157)=1,"OK","ERROR")</x:f>
        <x:v>OK</x:v>
      </x:c>
      <x:c r="N157" s="8" t="str">
        <x:f>IF(AND(G157&gt;F157,G157-F157&lt;=INDEX('Objetos'!$J$2:$J$181,MATCH(C157,'Objetos'!$A$2:$A$181,0))),"OK","ERROR")</x:f>
        <x:v>OK</x:v>
      </x:c>
    </x:row>
    <x:row r="158">
      <x:c r="A158" s="8" t="str">
        <x:v>RSV-000157</x:v>
      </x:c>
      <x:c r="B158" s="8" t="str">
        <x:v>USR-0013</x:v>
      </x:c>
      <x:c r="C158" s="8" t="str">
        <x:v>ITM-000157</x:v>
      </x:c>
      <x:c r="D158" s="8" t="str">
        <x:v>HUB-MAD-001</x:v>
      </x:c>
      <x:c r="E158" s="10" t="n">
        <x:v>45971.375</x:v>
      </x:c>
      <x:c r="F158" s="10" t="n">
        <x:v>45975.375</x:v>
      </x:c>
      <x:c r="G158" s="10" t="n">
        <x:v>45977.375</x:v>
      </x:c>
      <x:c r="H158" s="8" t="str">
        <x:v>returned</x:v>
      </x:c>
      <x:c r="I158" s="8" t="str">
        <x:v>Recogida por la tarde, si es posible.</x:v>
      </x:c>
      <x:c r="J158" s="10" t="n">
        <x:v>45977.375</x:v>
      </x:c>
      <x:c r="K158" s="8" t="str">
        <x:f>IF(COUNTIF('Usuarios'!$A$2:$A$61,B158)=1,"OK","ERROR")</x:f>
        <x:v>OK</x:v>
      </x:c>
      <x:c r="L158" s="8" t="str">
        <x:f>IF(COUNTIF('Objetos'!$A$2:$A$181,C158)=1,"OK","ERROR")</x:f>
        <x:v>OK</x:v>
      </x:c>
      <x:c r="M158" s="8" t="str">
        <x:f>IF(COUNTIF('Centros'!$A$2:$A$13,D158)=1,"OK","ERROR")</x:f>
        <x:v>OK</x:v>
      </x:c>
      <x:c r="N158" s="8" t="str">
        <x:f>IF(AND(G158&gt;F158,G158-F158&lt;=INDEX('Objetos'!$J$2:$J$181,MATCH(C158,'Objetos'!$A$2:$A$181,0))),"OK","ERROR")</x:f>
        <x:v>OK</x:v>
      </x:c>
    </x:row>
    <x:row r="159">
      <x:c r="A159" s="8" t="str">
        <x:v>RSV-000158</x:v>
      </x:c>
      <x:c r="B159" s="8" t="str">
        <x:v>USR-0020</x:v>
      </x:c>
      <x:c r="C159" s="8" t="str">
        <x:v>ITM-000158</x:v>
      </x:c>
      <x:c r="D159" s="8" t="str">
        <x:v>HUB-MAD-002</x:v>
      </x:c>
      <x:c r="E159" s="10" t="n">
        <x:v>45973.375</x:v>
      </x:c>
      <x:c r="F159" s="10" t="n">
        <x:v>45977.375</x:v>
      </x:c>
      <x:c r="G159" s="10" t="n">
        <x:v>45980.375</x:v>
      </x:c>
      <x:c r="H159" s="8" t="str">
        <x:v>returned</x:v>
      </x:c>
      <x:c r="I159" s="8" t="str"/>
      <x:c r="J159" s="10" t="n">
        <x:v>45980.375</x:v>
      </x:c>
      <x:c r="K159" s="8" t="str">
        <x:f>IF(COUNTIF('Usuarios'!$A$2:$A$61,B159)=1,"OK","ERROR")</x:f>
        <x:v>OK</x:v>
      </x:c>
      <x:c r="L159" s="8" t="str">
        <x:f>IF(COUNTIF('Objetos'!$A$2:$A$181,C159)=1,"OK","ERROR")</x:f>
        <x:v>OK</x:v>
      </x:c>
      <x:c r="M159" s="8" t="str">
        <x:f>IF(COUNTIF('Centros'!$A$2:$A$13,D159)=1,"OK","ERROR")</x:f>
        <x:v>OK</x:v>
      </x:c>
      <x:c r="N159" s="8" t="str">
        <x:f>IF(AND(G159&gt;F159,G159-F159&lt;=INDEX('Objetos'!$J$2:$J$181,MATCH(C159,'Objetos'!$A$2:$A$181,0))),"OK","ERROR")</x:f>
        <x:v>OK</x:v>
      </x:c>
    </x:row>
    <x:row r="160">
      <x:c r="A160" s="8" t="str">
        <x:v>RSV-000159</x:v>
      </x:c>
      <x:c r="B160" s="8" t="str">
        <x:v>USR-0027</x:v>
      </x:c>
      <x:c r="C160" s="8" t="str">
        <x:v>ITM-000159</x:v>
      </x:c>
      <x:c r="D160" s="8" t="str">
        <x:v>HUB-MAD-003</x:v>
      </x:c>
      <x:c r="E160" s="10" t="n">
        <x:v>45975.375</x:v>
      </x:c>
      <x:c r="F160" s="10" t="n">
        <x:v>45979.375</x:v>
      </x:c>
      <x:c r="G160" s="10" t="n">
        <x:v>45983.375</x:v>
      </x:c>
      <x:c r="H160" s="8" t="str">
        <x:v>returned</x:v>
      </x:c>
      <x:c r="I160" s="8" t="str"/>
      <x:c r="J160" s="10" t="n">
        <x:v>45983.375</x:v>
      </x:c>
      <x:c r="K160" s="8" t="str">
        <x:f>IF(COUNTIF('Usuarios'!$A$2:$A$61,B160)=1,"OK","ERROR")</x:f>
        <x:v>OK</x:v>
      </x:c>
      <x:c r="L160" s="8" t="str">
        <x:f>IF(COUNTIF('Objetos'!$A$2:$A$181,C160)=1,"OK","ERROR")</x:f>
        <x:v>OK</x:v>
      </x:c>
      <x:c r="M160" s="8" t="str">
        <x:f>IF(COUNTIF('Centros'!$A$2:$A$13,D160)=1,"OK","ERROR")</x:f>
        <x:v>OK</x:v>
      </x:c>
      <x:c r="N160" s="8" t="str">
        <x:f>IF(AND(G160&gt;F160,G160-F160&lt;=INDEX('Objetos'!$J$2:$J$181,MATCH(C160,'Objetos'!$A$2:$A$181,0))),"OK","ERROR")</x:f>
        <x:v>OK</x:v>
      </x:c>
    </x:row>
    <x:row r="161">
      <x:c r="A161" s="8" t="str">
        <x:v>RSV-000160</x:v>
      </x:c>
      <x:c r="B161" s="8" t="str">
        <x:v>USR-0034</x:v>
      </x:c>
      <x:c r="C161" s="8" t="str">
        <x:v>ITM-000160</x:v>
      </x:c>
      <x:c r="D161" s="8" t="str">
        <x:v>HUB-MAD-004</x:v>
      </x:c>
      <x:c r="E161" s="10" t="n">
        <x:v>45977.375</x:v>
      </x:c>
      <x:c r="F161" s="10" t="n">
        <x:v>45981.375</x:v>
      </x:c>
      <x:c r="G161" s="10" t="n">
        <x:v>45983.375</x:v>
      </x:c>
      <x:c r="H161" s="8" t="str">
        <x:v>returned</x:v>
      </x:c>
      <x:c r="I161" s="8" t="str"/>
      <x:c r="J161" s="10" t="n">
        <x:v>45983.375</x:v>
      </x:c>
      <x:c r="K161" s="8" t="str">
        <x:f>IF(COUNTIF('Usuarios'!$A$2:$A$61,B161)=1,"OK","ERROR")</x:f>
        <x:v>OK</x:v>
      </x:c>
      <x:c r="L161" s="8" t="str">
        <x:f>IF(COUNTIF('Objetos'!$A$2:$A$181,C161)=1,"OK","ERROR")</x:f>
        <x:v>OK</x:v>
      </x:c>
      <x:c r="M161" s="8" t="str">
        <x:f>IF(COUNTIF('Centros'!$A$2:$A$13,D161)=1,"OK","ERROR")</x:f>
        <x:v>OK</x:v>
      </x:c>
      <x:c r="N161" s="8" t="str">
        <x:f>IF(AND(G161&gt;F161,G161-F161&lt;=INDEX('Objetos'!$J$2:$J$181,MATCH(C161,'Objetos'!$A$2:$A$181,0))),"OK","ERROR")</x:f>
        <x:v>OK</x:v>
      </x:c>
    </x:row>
    <x:row r="162">
      <x:c r="A162" s="8" t="str">
        <x:v>RSV-000161</x:v>
      </x:c>
      <x:c r="B162" s="8" t="str">
        <x:v>USR-0041</x:v>
      </x:c>
      <x:c r="C162" s="8" t="str">
        <x:v>ITM-000161</x:v>
      </x:c>
      <x:c r="D162" s="8" t="str">
        <x:v>HUB-MAD-005</x:v>
      </x:c>
      <x:c r="E162" s="10" t="n">
        <x:v>45979.375</x:v>
      </x:c>
      <x:c r="F162" s="10" t="n">
        <x:v>45983.375</x:v>
      </x:c>
      <x:c r="G162" s="10" t="n">
        <x:v>45986.375</x:v>
      </x:c>
      <x:c r="H162" s="8" t="str">
        <x:v>returned</x:v>
      </x:c>
      <x:c r="I162" s="8" t="str">
        <x:v>Recogida por la tarde, si es posible.</x:v>
      </x:c>
      <x:c r="J162" s="10" t="n">
        <x:v>45986.375</x:v>
      </x:c>
      <x:c r="K162" s="8" t="str">
        <x:f>IF(COUNTIF('Usuarios'!$A$2:$A$61,B162)=1,"OK","ERROR")</x:f>
        <x:v>OK</x:v>
      </x:c>
      <x:c r="L162" s="8" t="str">
        <x:f>IF(COUNTIF('Objetos'!$A$2:$A$181,C162)=1,"OK","ERROR")</x:f>
        <x:v>OK</x:v>
      </x:c>
      <x:c r="M162" s="8" t="str">
        <x:f>IF(COUNTIF('Centros'!$A$2:$A$13,D162)=1,"OK","ERROR")</x:f>
        <x:v>OK</x:v>
      </x:c>
      <x:c r="N162" s="8" t="str">
        <x:f>IF(AND(G162&gt;F162,G162-F162&lt;=INDEX('Objetos'!$J$2:$J$181,MATCH(C162,'Objetos'!$A$2:$A$181,0))),"OK","ERROR")</x:f>
        <x:v>OK</x:v>
      </x:c>
    </x:row>
    <x:row r="163">
      <x:c r="A163" s="8" t="str">
        <x:v>RSV-000162</x:v>
      </x:c>
      <x:c r="B163" s="8" t="str">
        <x:v>USR-0048</x:v>
      </x:c>
      <x:c r="C163" s="8" t="str">
        <x:v>ITM-000162</x:v>
      </x:c>
      <x:c r="D163" s="8" t="str">
        <x:v>HUB-MAD-006</x:v>
      </x:c>
      <x:c r="E163" s="10" t="n">
        <x:v>45981.375</x:v>
      </x:c>
      <x:c r="F163" s="10" t="n">
        <x:v>45985.375</x:v>
      </x:c>
      <x:c r="G163" s="10" t="n">
        <x:v>45989.375</x:v>
      </x:c>
      <x:c r="H163" s="8" t="str">
        <x:v>returned</x:v>
      </x:c>
      <x:c r="I163" s="8" t="str"/>
      <x:c r="J163" s="10" t="n">
        <x:v>45989.375</x:v>
      </x:c>
      <x:c r="K163" s="8" t="str">
        <x:f>IF(COUNTIF('Usuarios'!$A$2:$A$61,B163)=1,"OK","ERROR")</x:f>
        <x:v>OK</x:v>
      </x:c>
      <x:c r="L163" s="8" t="str">
        <x:f>IF(COUNTIF('Objetos'!$A$2:$A$181,C163)=1,"OK","ERROR")</x:f>
        <x:v>OK</x:v>
      </x:c>
      <x:c r="M163" s="8" t="str">
        <x:f>IF(COUNTIF('Centros'!$A$2:$A$13,D163)=1,"OK","ERROR")</x:f>
        <x:v>OK</x:v>
      </x:c>
      <x:c r="N163" s="8" t="str">
        <x:f>IF(AND(G163&gt;F163,G163-F163&lt;=INDEX('Objetos'!$J$2:$J$181,MATCH(C163,'Objetos'!$A$2:$A$181,0))),"OK","ERROR")</x:f>
        <x:v>OK</x:v>
      </x:c>
    </x:row>
    <x:row r="164">
      <x:c r="A164" s="8" t="str">
        <x:v>RSV-000163</x:v>
      </x:c>
      <x:c r="B164" s="8" t="str">
        <x:v>USR-0055</x:v>
      </x:c>
      <x:c r="C164" s="8" t="str">
        <x:v>ITM-000163</x:v>
      </x:c>
      <x:c r="D164" s="8" t="str">
        <x:v>HUB-MAD-007</x:v>
      </x:c>
      <x:c r="E164" s="10" t="n">
        <x:v>45983.375</x:v>
      </x:c>
      <x:c r="F164" s="10" t="n">
        <x:v>45987.375</x:v>
      </x:c>
      <x:c r="G164" s="10" t="n">
        <x:v>45989.375</x:v>
      </x:c>
      <x:c r="H164" s="8" t="str">
        <x:v>returned</x:v>
      </x:c>
      <x:c r="I164" s="8" t="str"/>
      <x:c r="J164" s="10" t="n">
        <x:v>45989.375</x:v>
      </x:c>
      <x:c r="K164" s="8" t="str">
        <x:f>IF(COUNTIF('Usuarios'!$A$2:$A$61,B164)=1,"OK","ERROR")</x:f>
        <x:v>OK</x:v>
      </x:c>
      <x:c r="L164" s="8" t="str">
        <x:f>IF(COUNTIF('Objetos'!$A$2:$A$181,C164)=1,"OK","ERROR")</x:f>
        <x:v>OK</x:v>
      </x:c>
      <x:c r="M164" s="8" t="str">
        <x:f>IF(COUNTIF('Centros'!$A$2:$A$13,D164)=1,"OK","ERROR")</x:f>
        <x:v>OK</x:v>
      </x:c>
      <x:c r="N164" s="8" t="str">
        <x:f>IF(AND(G164&gt;F164,G164-F164&lt;=INDEX('Objetos'!$J$2:$J$181,MATCH(C164,'Objetos'!$A$2:$A$181,0))),"OK","ERROR")</x:f>
        <x:v>OK</x:v>
      </x:c>
    </x:row>
    <x:row r="165">
      <x:c r="A165" s="8" t="str">
        <x:v>RSV-000164</x:v>
      </x:c>
      <x:c r="B165" s="8" t="str">
        <x:v>USR-0002</x:v>
      </x:c>
      <x:c r="C165" s="8" t="str">
        <x:v>ITM-000164</x:v>
      </x:c>
      <x:c r="D165" s="8" t="str">
        <x:v>HUB-MAD-008</x:v>
      </x:c>
      <x:c r="E165" s="10" t="n">
        <x:v>45985.375</x:v>
      </x:c>
      <x:c r="F165" s="10" t="n">
        <x:v>45989.375</x:v>
      </x:c>
      <x:c r="G165" s="10" t="n">
        <x:v>45992.375</x:v>
      </x:c>
      <x:c r="H165" s="8" t="str">
        <x:v>returned</x:v>
      </x:c>
      <x:c r="I165" s="8" t="str"/>
      <x:c r="J165" s="10" t="n">
        <x:v>45992.375</x:v>
      </x:c>
      <x:c r="K165" s="8" t="str">
        <x:f>IF(COUNTIF('Usuarios'!$A$2:$A$61,B165)=1,"OK","ERROR")</x:f>
        <x:v>OK</x:v>
      </x:c>
      <x:c r="L165" s="8" t="str">
        <x:f>IF(COUNTIF('Objetos'!$A$2:$A$181,C165)=1,"OK","ERROR")</x:f>
        <x:v>OK</x:v>
      </x:c>
      <x:c r="M165" s="8" t="str">
        <x:f>IF(COUNTIF('Centros'!$A$2:$A$13,D165)=1,"OK","ERROR")</x:f>
        <x:v>OK</x:v>
      </x:c>
      <x:c r="N165" s="8" t="str">
        <x:f>IF(AND(G165&gt;F165,G165-F165&lt;=INDEX('Objetos'!$J$2:$J$181,MATCH(C165,'Objetos'!$A$2:$A$181,0))),"OK","ERROR")</x:f>
        <x:v>OK</x:v>
      </x:c>
    </x:row>
    <x:row r="166">
      <x:c r="A166" s="8" t="str">
        <x:v>RSV-000165</x:v>
      </x:c>
      <x:c r="B166" s="8" t="str">
        <x:v>USR-0009</x:v>
      </x:c>
      <x:c r="C166" s="8" t="str">
        <x:v>ITM-000165</x:v>
      </x:c>
      <x:c r="D166" s="8" t="str">
        <x:v>HUB-MAD-009</x:v>
      </x:c>
      <x:c r="E166" s="10" t="n">
        <x:v>45987.375</x:v>
      </x:c>
      <x:c r="F166" s="10" t="n">
        <x:v>45991.375</x:v>
      </x:c>
      <x:c r="G166" s="10" t="n">
        <x:v>45995.375</x:v>
      </x:c>
      <x:c r="H166" s="8" t="str">
        <x:v>returned</x:v>
      </x:c>
      <x:c r="I166" s="8" t="str">
        <x:v>Recogida por la tarde, si es posible.</x:v>
      </x:c>
      <x:c r="J166" s="10" t="n">
        <x:v>45995.375</x:v>
      </x:c>
      <x:c r="K166" s="8" t="str">
        <x:f>IF(COUNTIF('Usuarios'!$A$2:$A$61,B166)=1,"OK","ERROR")</x:f>
        <x:v>OK</x:v>
      </x:c>
      <x:c r="L166" s="8" t="str">
        <x:f>IF(COUNTIF('Objetos'!$A$2:$A$181,C166)=1,"OK","ERROR")</x:f>
        <x:v>OK</x:v>
      </x:c>
      <x:c r="M166" s="8" t="str">
        <x:f>IF(COUNTIF('Centros'!$A$2:$A$13,D166)=1,"OK","ERROR")</x:f>
        <x:v>OK</x:v>
      </x:c>
      <x:c r="N166" s="8" t="str">
        <x:f>IF(AND(G166&gt;F166,G166-F166&lt;=INDEX('Objetos'!$J$2:$J$181,MATCH(C166,'Objetos'!$A$2:$A$181,0))),"OK","ERROR")</x:f>
        <x:v>OK</x:v>
      </x:c>
    </x:row>
    <x:row r="167">
      <x:c r="A167" s="8" t="str">
        <x:v>RSV-000166</x:v>
      </x:c>
      <x:c r="B167" s="8" t="str">
        <x:v>USR-0016</x:v>
      </x:c>
      <x:c r="C167" s="8" t="str">
        <x:v>ITM-000166</x:v>
      </x:c>
      <x:c r="D167" s="8" t="str">
        <x:v>HUB-MAD-010</x:v>
      </x:c>
      <x:c r="E167" s="10" t="n">
        <x:v>45989.375</x:v>
      </x:c>
      <x:c r="F167" s="10" t="n">
        <x:v>45993.375</x:v>
      </x:c>
      <x:c r="G167" s="10" t="n">
        <x:v>45995.375</x:v>
      </x:c>
      <x:c r="H167" s="8" t="str">
        <x:v>returned</x:v>
      </x:c>
      <x:c r="I167" s="8" t="str"/>
      <x:c r="J167" s="10" t="n">
        <x:v>45995.375</x:v>
      </x:c>
      <x:c r="K167" s="8" t="str">
        <x:f>IF(COUNTIF('Usuarios'!$A$2:$A$61,B167)=1,"OK","ERROR")</x:f>
        <x:v>OK</x:v>
      </x:c>
      <x:c r="L167" s="8" t="str">
        <x:f>IF(COUNTIF('Objetos'!$A$2:$A$181,C167)=1,"OK","ERROR")</x:f>
        <x:v>OK</x:v>
      </x:c>
      <x:c r="M167" s="8" t="str">
        <x:f>IF(COUNTIF('Centros'!$A$2:$A$13,D167)=1,"OK","ERROR")</x:f>
        <x:v>OK</x:v>
      </x:c>
      <x:c r="N167" s="8" t="str">
        <x:f>IF(AND(G167&gt;F167,G167-F167&lt;=INDEX('Objetos'!$J$2:$J$181,MATCH(C167,'Objetos'!$A$2:$A$181,0))),"OK","ERROR")</x:f>
        <x:v>OK</x:v>
      </x:c>
    </x:row>
    <x:row r="168">
      <x:c r="A168" s="8" t="str">
        <x:v>RSV-000167</x:v>
      </x:c>
      <x:c r="B168" s="8" t="str">
        <x:v>USR-0023</x:v>
      </x:c>
      <x:c r="C168" s="8" t="str">
        <x:v>ITM-000167</x:v>
      </x:c>
      <x:c r="D168" s="8" t="str">
        <x:v>HUB-MAD-011</x:v>
      </x:c>
      <x:c r="E168" s="10" t="n">
        <x:v>45991.375</x:v>
      </x:c>
      <x:c r="F168" s="10" t="n">
        <x:v>45995.375</x:v>
      </x:c>
      <x:c r="G168" s="10" t="n">
        <x:v>45998.375</x:v>
      </x:c>
      <x:c r="H168" s="8" t="str">
        <x:v>returned</x:v>
      </x:c>
      <x:c r="I168" s="8" t="str"/>
      <x:c r="J168" s="10" t="n">
        <x:v>45998.375</x:v>
      </x:c>
      <x:c r="K168" s="8" t="str">
        <x:f>IF(COUNTIF('Usuarios'!$A$2:$A$61,B168)=1,"OK","ERROR")</x:f>
        <x:v>OK</x:v>
      </x:c>
      <x:c r="L168" s="8" t="str">
        <x:f>IF(COUNTIF('Objetos'!$A$2:$A$181,C168)=1,"OK","ERROR")</x:f>
        <x:v>OK</x:v>
      </x:c>
      <x:c r="M168" s="8" t="str">
        <x:f>IF(COUNTIF('Centros'!$A$2:$A$13,D168)=1,"OK","ERROR")</x:f>
        <x:v>OK</x:v>
      </x:c>
      <x:c r="N168" s="8" t="str">
        <x:f>IF(AND(G168&gt;F168,G168-F168&lt;=INDEX('Objetos'!$J$2:$J$181,MATCH(C168,'Objetos'!$A$2:$A$181,0))),"OK","ERROR")</x:f>
        <x:v>OK</x:v>
      </x:c>
    </x:row>
    <x:row r="169">
      <x:c r="A169" s="8" t="str">
        <x:v>RSV-000168</x:v>
      </x:c>
      <x:c r="B169" s="8" t="str">
        <x:v>USR-0030</x:v>
      </x:c>
      <x:c r="C169" s="8" t="str">
        <x:v>ITM-000168</x:v>
      </x:c>
      <x:c r="D169" s="8" t="str">
        <x:v>HUB-MAD-012</x:v>
      </x:c>
      <x:c r="E169" s="10" t="n">
        <x:v>45993.375</x:v>
      </x:c>
      <x:c r="F169" s="10" t="n">
        <x:v>45997.375</x:v>
      </x:c>
      <x:c r="G169" s="10" t="n">
        <x:v>46001.375</x:v>
      </x:c>
      <x:c r="H169" s="8" t="str">
        <x:v>returned</x:v>
      </x:c>
      <x:c r="I169" s="8" t="str"/>
      <x:c r="J169" s="10" t="n">
        <x:v>46001.375</x:v>
      </x:c>
      <x:c r="K169" s="8" t="str">
        <x:f>IF(COUNTIF('Usuarios'!$A$2:$A$61,B169)=1,"OK","ERROR")</x:f>
        <x:v>OK</x:v>
      </x:c>
      <x:c r="L169" s="8" t="str">
        <x:f>IF(COUNTIF('Objetos'!$A$2:$A$181,C169)=1,"OK","ERROR")</x:f>
        <x:v>OK</x:v>
      </x:c>
      <x:c r="M169" s="8" t="str">
        <x:f>IF(COUNTIF('Centros'!$A$2:$A$13,D169)=1,"OK","ERROR")</x:f>
        <x:v>OK</x:v>
      </x:c>
      <x:c r="N169" s="8" t="str">
        <x:f>IF(AND(G169&gt;F169,G169-F169&lt;=INDEX('Objetos'!$J$2:$J$181,MATCH(C169,'Objetos'!$A$2:$A$181,0))),"OK","ERROR")</x:f>
        <x:v>OK</x:v>
      </x:c>
    </x:row>
    <x:row r="170">
      <x:c r="A170" s="8" t="str">
        <x:v>RSV-000169</x:v>
      </x:c>
      <x:c r="B170" s="8" t="str">
        <x:v>USR-0037</x:v>
      </x:c>
      <x:c r="C170" s="8" t="str">
        <x:v>ITM-000169</x:v>
      </x:c>
      <x:c r="D170" s="8" t="str">
        <x:v>HUB-MAD-001</x:v>
      </x:c>
      <x:c r="E170" s="10" t="n">
        <x:v>45995.375</x:v>
      </x:c>
      <x:c r="F170" s="10" t="n">
        <x:v>45999.375</x:v>
      </x:c>
      <x:c r="G170" s="10" t="n">
        <x:v>46001.375</x:v>
      </x:c>
      <x:c r="H170" s="8" t="str">
        <x:v>returned</x:v>
      </x:c>
      <x:c r="I170" s="8" t="str">
        <x:v>Recogida por la tarde, si es posible.</x:v>
      </x:c>
      <x:c r="J170" s="10" t="n">
        <x:v>46001.375</x:v>
      </x:c>
      <x:c r="K170" s="8" t="str">
        <x:f>IF(COUNTIF('Usuarios'!$A$2:$A$61,B170)=1,"OK","ERROR")</x:f>
        <x:v>OK</x:v>
      </x:c>
      <x:c r="L170" s="8" t="str">
        <x:f>IF(COUNTIF('Objetos'!$A$2:$A$181,C170)=1,"OK","ERROR")</x:f>
        <x:v>OK</x:v>
      </x:c>
      <x:c r="M170" s="8" t="str">
        <x:f>IF(COUNTIF('Centros'!$A$2:$A$13,D170)=1,"OK","ERROR")</x:f>
        <x:v>OK</x:v>
      </x:c>
      <x:c r="N170" s="8" t="str">
        <x:f>IF(AND(G170&gt;F170,G170-F170&lt;=INDEX('Objetos'!$J$2:$J$181,MATCH(C170,'Objetos'!$A$2:$A$181,0))),"OK","ERROR")</x:f>
        <x:v>OK</x:v>
      </x:c>
    </x:row>
    <x:row r="171">
      <x:c r="A171" s="8" t="str">
        <x:v>RSV-000170</x:v>
      </x:c>
      <x:c r="B171" s="8" t="str">
        <x:v>USR-0044</x:v>
      </x:c>
      <x:c r="C171" s="8" t="str">
        <x:v>ITM-000170</x:v>
      </x:c>
      <x:c r="D171" s="8" t="str">
        <x:v>HUB-MAD-002</x:v>
      </x:c>
      <x:c r="E171" s="10" t="n">
        <x:v>45997.375</x:v>
      </x:c>
      <x:c r="F171" s="10" t="n">
        <x:v>46001.375</x:v>
      </x:c>
      <x:c r="G171" s="10" t="n">
        <x:v>46004.375</x:v>
      </x:c>
      <x:c r="H171" s="8" t="str">
        <x:v>returned</x:v>
      </x:c>
      <x:c r="I171" s="8" t="str"/>
      <x:c r="J171" s="10" t="n">
        <x:v>46004.375</x:v>
      </x:c>
      <x:c r="K171" s="8" t="str">
        <x:f>IF(COUNTIF('Usuarios'!$A$2:$A$61,B171)=1,"OK","ERROR")</x:f>
        <x:v>OK</x:v>
      </x:c>
      <x:c r="L171" s="8" t="str">
        <x:f>IF(COUNTIF('Objetos'!$A$2:$A$181,C171)=1,"OK","ERROR")</x:f>
        <x:v>OK</x:v>
      </x:c>
      <x:c r="M171" s="8" t="str">
        <x:f>IF(COUNTIF('Centros'!$A$2:$A$13,D171)=1,"OK","ERROR")</x:f>
        <x:v>OK</x:v>
      </x:c>
      <x:c r="N171" s="8" t="str">
        <x:f>IF(AND(G171&gt;F171,G171-F171&lt;=INDEX('Objetos'!$J$2:$J$181,MATCH(C171,'Objetos'!$A$2:$A$181,0))),"OK","ERROR")</x:f>
        <x:v>OK</x:v>
      </x:c>
    </x:row>
    <x:row r="172">
      <x:c r="A172" s="8" t="str">
        <x:v>RSV-000171</x:v>
      </x:c>
      <x:c r="B172" s="8" t="str">
        <x:v>USR-0051</x:v>
      </x:c>
      <x:c r="C172" s="8" t="str">
        <x:v>ITM-000171</x:v>
      </x:c>
      <x:c r="D172" s="8" t="str">
        <x:v>HUB-MAD-003</x:v>
      </x:c>
      <x:c r="E172" s="10" t="n">
        <x:v>45999.375</x:v>
      </x:c>
      <x:c r="F172" s="10" t="n">
        <x:v>46003.375</x:v>
      </x:c>
      <x:c r="G172" s="10" t="n">
        <x:v>46006.375</x:v>
      </x:c>
      <x:c r="H172" s="8" t="str">
        <x:v>returned</x:v>
      </x:c>
      <x:c r="I172" s="8" t="str"/>
      <x:c r="J172" s="10" t="n">
        <x:v>46006.375</x:v>
      </x:c>
      <x:c r="K172" s="8" t="str">
        <x:f>IF(COUNTIF('Usuarios'!$A$2:$A$61,B172)=1,"OK","ERROR")</x:f>
        <x:v>OK</x:v>
      </x:c>
      <x:c r="L172" s="8" t="str">
        <x:f>IF(COUNTIF('Objetos'!$A$2:$A$181,C172)=1,"OK","ERROR")</x:f>
        <x:v>OK</x:v>
      </x:c>
      <x:c r="M172" s="8" t="str">
        <x:f>IF(COUNTIF('Centros'!$A$2:$A$13,D172)=1,"OK","ERROR")</x:f>
        <x:v>OK</x:v>
      </x:c>
      <x:c r="N172" s="8" t="str">
        <x:f>IF(AND(G172&gt;F172,G172-F172&lt;=INDEX('Objetos'!$J$2:$J$181,MATCH(C172,'Objetos'!$A$2:$A$181,0))),"OK","ERROR")</x:f>
        <x:v>OK</x:v>
      </x:c>
    </x:row>
    <x:row r="173">
      <x:c r="A173" s="8" t="str">
        <x:v>RSV-000172</x:v>
      </x:c>
      <x:c r="B173" s="8" t="str">
        <x:v>USR-0058</x:v>
      </x:c>
      <x:c r="C173" s="8" t="str">
        <x:v>ITM-000172</x:v>
      </x:c>
      <x:c r="D173" s="8" t="str">
        <x:v>HUB-MAD-004</x:v>
      </x:c>
      <x:c r="E173" s="10" t="n">
        <x:v>46001.375</x:v>
      </x:c>
      <x:c r="F173" s="10" t="n">
        <x:v>46005.375</x:v>
      </x:c>
      <x:c r="G173" s="10" t="n">
        <x:v>46007.375</x:v>
      </x:c>
      <x:c r="H173" s="8" t="str">
        <x:v>returned</x:v>
      </x:c>
      <x:c r="I173" s="8" t="str"/>
      <x:c r="J173" s="10" t="n">
        <x:v>46007.375</x:v>
      </x:c>
      <x:c r="K173" s="8" t="str">
        <x:f>IF(COUNTIF('Usuarios'!$A$2:$A$61,B173)=1,"OK","ERROR")</x:f>
        <x:v>OK</x:v>
      </x:c>
      <x:c r="L173" s="8" t="str">
        <x:f>IF(COUNTIF('Objetos'!$A$2:$A$181,C173)=1,"OK","ERROR")</x:f>
        <x:v>OK</x:v>
      </x:c>
      <x:c r="M173" s="8" t="str">
        <x:f>IF(COUNTIF('Centros'!$A$2:$A$13,D173)=1,"OK","ERROR")</x:f>
        <x:v>OK</x:v>
      </x:c>
      <x:c r="N173" s="8" t="str">
        <x:f>IF(AND(G173&gt;F173,G173-F173&lt;=INDEX('Objetos'!$J$2:$J$181,MATCH(C173,'Objetos'!$A$2:$A$181,0))),"OK","ERROR")</x:f>
        <x:v>OK</x:v>
      </x:c>
    </x:row>
    <x:row r="174">
      <x:c r="A174" s="8" t="str">
        <x:v>RSV-000173</x:v>
      </x:c>
      <x:c r="B174" s="8" t="str">
        <x:v>USR-0005</x:v>
      </x:c>
      <x:c r="C174" s="8" t="str">
        <x:v>ITM-000173</x:v>
      </x:c>
      <x:c r="D174" s="8" t="str">
        <x:v>HUB-MAD-005</x:v>
      </x:c>
      <x:c r="E174" s="10" t="n">
        <x:v>46003.375</x:v>
      </x:c>
      <x:c r="F174" s="10" t="n">
        <x:v>46007.375</x:v>
      </x:c>
      <x:c r="G174" s="10" t="n">
        <x:v>46010.375</x:v>
      </x:c>
      <x:c r="H174" s="8" t="str">
        <x:v>returned</x:v>
      </x:c>
      <x:c r="I174" s="8" t="str">
        <x:v>Recogida por la tarde, si es posible.</x:v>
      </x:c>
      <x:c r="J174" s="10" t="n">
        <x:v>46010.375</x:v>
      </x:c>
      <x:c r="K174" s="8" t="str">
        <x:f>IF(COUNTIF('Usuarios'!$A$2:$A$61,B174)=1,"OK","ERROR")</x:f>
        <x:v>OK</x:v>
      </x:c>
      <x:c r="L174" s="8" t="str">
        <x:f>IF(COUNTIF('Objetos'!$A$2:$A$181,C174)=1,"OK","ERROR")</x:f>
        <x:v>OK</x:v>
      </x:c>
      <x:c r="M174" s="8" t="str">
        <x:f>IF(COUNTIF('Centros'!$A$2:$A$13,D174)=1,"OK","ERROR")</x:f>
        <x:v>OK</x:v>
      </x:c>
      <x:c r="N174" s="8" t="str">
        <x:f>IF(AND(G174&gt;F174,G174-F174&lt;=INDEX('Objetos'!$J$2:$J$181,MATCH(C174,'Objetos'!$A$2:$A$181,0))),"OK","ERROR")</x:f>
        <x:v>OK</x:v>
      </x:c>
    </x:row>
    <x:row r="175">
      <x:c r="A175" s="8" t="str">
        <x:v>RSV-000174</x:v>
      </x:c>
      <x:c r="B175" s="8" t="str">
        <x:v>USR-0012</x:v>
      </x:c>
      <x:c r="C175" s="8" t="str">
        <x:v>ITM-000174</x:v>
      </x:c>
      <x:c r="D175" s="8" t="str">
        <x:v>HUB-MAD-006</x:v>
      </x:c>
      <x:c r="E175" s="10" t="n">
        <x:v>46005.375</x:v>
      </x:c>
      <x:c r="F175" s="10" t="n">
        <x:v>46009.375</x:v>
      </x:c>
      <x:c r="G175" s="10" t="n">
        <x:v>46013.375</x:v>
      </x:c>
      <x:c r="H175" s="8" t="str">
        <x:v>returned</x:v>
      </x:c>
      <x:c r="I175" s="8" t="str"/>
      <x:c r="J175" s="10" t="n">
        <x:v>46013.375</x:v>
      </x:c>
      <x:c r="K175" s="8" t="str">
        <x:f>IF(COUNTIF('Usuarios'!$A$2:$A$61,B175)=1,"OK","ERROR")</x:f>
        <x:v>OK</x:v>
      </x:c>
      <x:c r="L175" s="8" t="str">
        <x:f>IF(COUNTIF('Objetos'!$A$2:$A$181,C175)=1,"OK","ERROR")</x:f>
        <x:v>OK</x:v>
      </x:c>
      <x:c r="M175" s="8" t="str">
        <x:f>IF(COUNTIF('Centros'!$A$2:$A$13,D175)=1,"OK","ERROR")</x:f>
        <x:v>OK</x:v>
      </x:c>
      <x:c r="N175" s="8" t="str">
        <x:f>IF(AND(G175&gt;F175,G175-F175&lt;=INDEX('Objetos'!$J$2:$J$181,MATCH(C175,'Objetos'!$A$2:$A$181,0))),"OK","ERROR")</x:f>
        <x:v>OK</x:v>
      </x:c>
    </x:row>
    <x:row r="176">
      <x:c r="A176" s="8" t="str">
        <x:v>RSV-000175</x:v>
      </x:c>
      <x:c r="B176" s="8" t="str">
        <x:v>USR-0019</x:v>
      </x:c>
      <x:c r="C176" s="8" t="str">
        <x:v>ITM-000175</x:v>
      </x:c>
      <x:c r="D176" s="8" t="str">
        <x:v>HUB-MAD-007</x:v>
      </x:c>
      <x:c r="E176" s="10" t="n">
        <x:v>46007.375</x:v>
      </x:c>
      <x:c r="F176" s="10" t="n">
        <x:v>46011.375</x:v>
      </x:c>
      <x:c r="G176" s="10" t="n">
        <x:v>46013.375</x:v>
      </x:c>
      <x:c r="H176" s="8" t="str">
        <x:v>returned</x:v>
      </x:c>
      <x:c r="I176" s="8" t="str"/>
      <x:c r="J176" s="10" t="n">
        <x:v>46013.375</x:v>
      </x:c>
      <x:c r="K176" s="8" t="str">
        <x:f>IF(COUNTIF('Usuarios'!$A$2:$A$61,B176)=1,"OK","ERROR")</x:f>
        <x:v>OK</x:v>
      </x:c>
      <x:c r="L176" s="8" t="str">
        <x:f>IF(COUNTIF('Objetos'!$A$2:$A$181,C176)=1,"OK","ERROR")</x:f>
        <x:v>OK</x:v>
      </x:c>
      <x:c r="M176" s="8" t="str">
        <x:f>IF(COUNTIF('Centros'!$A$2:$A$13,D176)=1,"OK","ERROR")</x:f>
        <x:v>OK</x:v>
      </x:c>
      <x:c r="N176" s="8" t="str">
        <x:f>IF(AND(G176&gt;F176,G176-F176&lt;=INDEX('Objetos'!$J$2:$J$181,MATCH(C176,'Objetos'!$A$2:$A$181,0))),"OK","ERROR")</x:f>
        <x:v>OK</x:v>
      </x:c>
    </x:row>
    <x:row r="177">
      <x:c r="A177" s="8" t="str">
        <x:v>RSV-000176</x:v>
      </x:c>
      <x:c r="B177" s="8" t="str">
        <x:v>USR-0026</x:v>
      </x:c>
      <x:c r="C177" s="8" t="str">
        <x:v>ITM-000176</x:v>
      </x:c>
      <x:c r="D177" s="8" t="str">
        <x:v>HUB-MAD-008</x:v>
      </x:c>
      <x:c r="E177" s="10" t="n">
        <x:v>46009.375</x:v>
      </x:c>
      <x:c r="F177" s="10" t="n">
        <x:v>46013.375</x:v>
      </x:c>
      <x:c r="G177" s="10" t="n">
        <x:v>46016.375</x:v>
      </x:c>
      <x:c r="H177" s="8" t="str">
        <x:v>returned</x:v>
      </x:c>
      <x:c r="I177" s="8" t="str"/>
      <x:c r="J177" s="10" t="n">
        <x:v>46016.375</x:v>
      </x:c>
      <x:c r="K177" s="8" t="str">
        <x:f>IF(COUNTIF('Usuarios'!$A$2:$A$61,B177)=1,"OK","ERROR")</x:f>
        <x:v>OK</x:v>
      </x:c>
      <x:c r="L177" s="8" t="str">
        <x:f>IF(COUNTIF('Objetos'!$A$2:$A$181,C177)=1,"OK","ERROR")</x:f>
        <x:v>OK</x:v>
      </x:c>
      <x:c r="M177" s="8" t="str">
        <x:f>IF(COUNTIF('Centros'!$A$2:$A$13,D177)=1,"OK","ERROR")</x:f>
        <x:v>OK</x:v>
      </x:c>
      <x:c r="N177" s="8" t="str">
        <x:f>IF(AND(G177&gt;F177,G177-F177&lt;=INDEX('Objetos'!$J$2:$J$181,MATCH(C177,'Objetos'!$A$2:$A$181,0))),"OK","ERROR")</x:f>
        <x:v>OK</x:v>
      </x:c>
    </x:row>
    <x:row r="178">
      <x:c r="A178" s="8" t="str">
        <x:v>RSV-000177</x:v>
      </x:c>
      <x:c r="B178" s="8" t="str">
        <x:v>USR-0033</x:v>
      </x:c>
      <x:c r="C178" s="8" t="str">
        <x:v>ITM-000177</x:v>
      </x:c>
      <x:c r="D178" s="8" t="str">
        <x:v>HUB-MAD-009</x:v>
      </x:c>
      <x:c r="E178" s="10" t="n">
        <x:v>46011.375</x:v>
      </x:c>
      <x:c r="F178" s="10" t="n">
        <x:v>46015.375</x:v>
      </x:c>
      <x:c r="G178" s="10" t="n">
        <x:v>46019.375</x:v>
      </x:c>
      <x:c r="H178" s="8" t="str">
        <x:v>returned</x:v>
      </x:c>
      <x:c r="I178" s="8" t="str">
        <x:v>Recogida por la tarde, si es posible.</x:v>
      </x:c>
      <x:c r="J178" s="10" t="n">
        <x:v>46019.375</x:v>
      </x:c>
      <x:c r="K178" s="8" t="str">
        <x:f>IF(COUNTIF('Usuarios'!$A$2:$A$61,B178)=1,"OK","ERROR")</x:f>
        <x:v>OK</x:v>
      </x:c>
      <x:c r="L178" s="8" t="str">
        <x:f>IF(COUNTIF('Objetos'!$A$2:$A$181,C178)=1,"OK","ERROR")</x:f>
        <x:v>OK</x:v>
      </x:c>
      <x:c r="M178" s="8" t="str">
        <x:f>IF(COUNTIF('Centros'!$A$2:$A$13,D178)=1,"OK","ERROR")</x:f>
        <x:v>OK</x:v>
      </x:c>
      <x:c r="N178" s="8" t="str">
        <x:f>IF(AND(G178&gt;F178,G178-F178&lt;=INDEX('Objetos'!$J$2:$J$181,MATCH(C178,'Objetos'!$A$2:$A$181,0))),"OK","ERROR")</x:f>
        <x:v>OK</x:v>
      </x:c>
    </x:row>
    <x:row r="179">
      <x:c r="A179" s="8" t="str">
        <x:v>RSV-000178</x:v>
      </x:c>
      <x:c r="B179" s="8" t="str">
        <x:v>USR-0040</x:v>
      </x:c>
      <x:c r="C179" s="8" t="str">
        <x:v>ITM-000178</x:v>
      </x:c>
      <x:c r="D179" s="8" t="str">
        <x:v>HUB-MAD-010</x:v>
      </x:c>
      <x:c r="E179" s="10" t="n">
        <x:v>46013.375</x:v>
      </x:c>
      <x:c r="F179" s="10" t="n">
        <x:v>46017.375</x:v>
      </x:c>
      <x:c r="G179" s="10" t="n">
        <x:v>46019.375</x:v>
      </x:c>
      <x:c r="H179" s="8" t="str">
        <x:v>returned</x:v>
      </x:c>
      <x:c r="I179" s="8" t="str"/>
      <x:c r="J179" s="10" t="n">
        <x:v>46019.375</x:v>
      </x:c>
      <x:c r="K179" s="8" t="str">
        <x:f>IF(COUNTIF('Usuarios'!$A$2:$A$61,B179)=1,"OK","ERROR")</x:f>
        <x:v>OK</x:v>
      </x:c>
      <x:c r="L179" s="8" t="str">
        <x:f>IF(COUNTIF('Objetos'!$A$2:$A$181,C179)=1,"OK","ERROR")</x:f>
        <x:v>OK</x:v>
      </x:c>
      <x:c r="M179" s="8" t="str">
        <x:f>IF(COUNTIF('Centros'!$A$2:$A$13,D179)=1,"OK","ERROR")</x:f>
        <x:v>OK</x:v>
      </x:c>
      <x:c r="N179" s="8" t="str">
        <x:f>IF(AND(G179&gt;F179,G179-F179&lt;=INDEX('Objetos'!$J$2:$J$181,MATCH(C179,'Objetos'!$A$2:$A$181,0))),"OK","ERROR")</x:f>
        <x:v>OK</x:v>
      </x:c>
    </x:row>
    <x:row r="180">
      <x:c r="A180" s="8" t="str">
        <x:v>RSV-000179</x:v>
      </x:c>
      <x:c r="B180" s="8" t="str">
        <x:v>USR-0047</x:v>
      </x:c>
      <x:c r="C180" s="8" t="str">
        <x:v>ITM-000179</x:v>
      </x:c>
      <x:c r="D180" s="8" t="str">
        <x:v>HUB-MAD-011</x:v>
      </x:c>
      <x:c r="E180" s="10" t="n">
        <x:v>46015.375</x:v>
      </x:c>
      <x:c r="F180" s="10" t="n">
        <x:v>46019.375</x:v>
      </x:c>
      <x:c r="G180" s="10" t="n">
        <x:v>46022.375</x:v>
      </x:c>
      <x:c r="H180" s="8" t="str">
        <x:v>returned</x:v>
      </x:c>
      <x:c r="I180" s="8" t="str"/>
      <x:c r="J180" s="10" t="n">
        <x:v>46022.375</x:v>
      </x:c>
      <x:c r="K180" s="8" t="str">
        <x:f>IF(COUNTIF('Usuarios'!$A$2:$A$61,B180)=1,"OK","ERROR")</x:f>
        <x:v>OK</x:v>
      </x:c>
      <x:c r="L180" s="8" t="str">
        <x:f>IF(COUNTIF('Objetos'!$A$2:$A$181,C180)=1,"OK","ERROR")</x:f>
        <x:v>OK</x:v>
      </x:c>
      <x:c r="M180" s="8" t="str">
        <x:f>IF(COUNTIF('Centros'!$A$2:$A$13,D180)=1,"OK","ERROR")</x:f>
        <x:v>OK</x:v>
      </x:c>
      <x:c r="N180" s="8" t="str">
        <x:f>IF(AND(G180&gt;F180,G180-F180&lt;=INDEX('Objetos'!$J$2:$J$181,MATCH(C180,'Objetos'!$A$2:$A$181,0))),"OK","ERROR")</x:f>
        <x:v>OK</x:v>
      </x:c>
    </x:row>
    <x:row r="181">
      <x:c r="A181" s="8" t="str">
        <x:v>RSV-000180</x:v>
      </x:c>
      <x:c r="B181" s="8" t="str">
        <x:v>USR-0054</x:v>
      </x:c>
      <x:c r="C181" s="8" t="str">
        <x:v>ITM-000180</x:v>
      </x:c>
      <x:c r="D181" s="8" t="str">
        <x:v>HUB-MAD-012</x:v>
      </x:c>
      <x:c r="E181" s="10" t="n">
        <x:v>46017.375</x:v>
      </x:c>
      <x:c r="F181" s="10" t="n">
        <x:v>46021.375</x:v>
      </x:c>
      <x:c r="G181" s="10" t="n">
        <x:v>46025.375</x:v>
      </x:c>
      <x:c r="H181" s="8" t="str">
        <x:v>returned</x:v>
      </x:c>
      <x:c r="I181" s="8" t="str"/>
      <x:c r="J181" s="10" t="n">
        <x:v>46025.375</x:v>
      </x:c>
      <x:c r="K181" s="8" t="str">
        <x:f>IF(COUNTIF('Usuarios'!$A$2:$A$61,B181)=1,"OK","ERROR")</x:f>
        <x:v>OK</x:v>
      </x:c>
      <x:c r="L181" s="8" t="str">
        <x:f>IF(COUNTIF('Objetos'!$A$2:$A$181,C181)=1,"OK","ERROR")</x:f>
        <x:v>OK</x:v>
      </x:c>
      <x:c r="M181" s="8" t="str">
        <x:f>IF(COUNTIF('Centros'!$A$2:$A$13,D181)=1,"OK","ERROR")</x:f>
        <x:v>OK</x:v>
      </x:c>
      <x:c r="N181" s="8" t="str">
        <x:f>IF(AND(G181&gt;F181,G181-F181&lt;=INDEX('Objetos'!$J$2:$J$181,MATCH(C181,'Objetos'!$A$2:$A$181,0))),"OK","ERROR")</x:f>
        <x:v>OK</x:v>
      </x:c>
    </x:row>
    <x:row r="182">
      <x:c r="A182" s="8" t="str">
        <x:v>RSV-000181</x:v>
      </x:c>
      <x:c r="B182" s="8" t="str">
        <x:v>USR-0005</x:v>
      </x:c>
      <x:c r="C182" s="8" t="str">
        <x:v>ITM-000002</x:v>
      </x:c>
      <x:c r="D182" s="8" t="str">
        <x:v>HUB-MAD-002</x:v>
      </x:c>
      <x:c r="E182" s="10" t="n">
        <x:v>46257.5</x:v>
      </x:c>
      <x:c r="F182" s="10" t="n">
        <x:v>46263.5</x:v>
      </x:c>
      <x:c r="G182" s="10" t="n">
        <x:v>46266.5</x:v>
      </x:c>
      <x:c r="H182" s="8" t="str">
        <x:v>collected</x:v>
      </x:c>
      <x:c r="I182" s="8" t="str">
        <x:v>Confirmar que incluye todos los accesorios.</x:v>
      </x:c>
      <x:c r="J182" s="10" t="str"/>
      <x:c r="K182" s="8" t="str">
        <x:f>IF(COUNTIF('Usuarios'!$A$2:$A$61,B182)=1,"OK","ERROR")</x:f>
        <x:v>OK</x:v>
      </x:c>
      <x:c r="L182" s="8" t="str">
        <x:f>IF(COUNTIF('Objetos'!$A$2:$A$181,C182)=1,"OK","ERROR")</x:f>
        <x:v>OK</x:v>
      </x:c>
      <x:c r="M182" s="8" t="str">
        <x:f>IF(COUNTIF('Centros'!$A$2:$A$13,D182)=1,"OK","ERROR")</x:f>
        <x:v>OK</x:v>
      </x:c>
      <x:c r="N182" s="8" t="str">
        <x:f>IF(AND(G182&gt;F182,G182-F182&lt;=INDEX('Objetos'!$J$2:$J$181,MATCH(C182,'Objetos'!$A$2:$A$181,0))),"OK","ERROR")</x:f>
        <x:v>OK</x:v>
      </x:c>
    </x:row>
    <x:row r="183">
      <x:c r="A183" s="8" t="str">
        <x:v>RSV-000182</x:v>
      </x:c>
      <x:c r="B183" s="8" t="str">
        <x:v>USR-0016</x:v>
      </x:c>
      <x:c r="C183" s="8" t="str">
        <x:v>ITM-000003</x:v>
      </x:c>
      <x:c r="D183" s="8" t="str">
        <x:v>HUB-MAD-003</x:v>
      </x:c>
      <x:c r="E183" s="10" t="n">
        <x:v>46256.5</x:v>
      </x:c>
      <x:c r="F183" s="10" t="n">
        <x:v>46262.5</x:v>
      </x:c>
      <x:c r="G183" s="10" t="n">
        <x:v>46265.5</x:v>
      </x:c>
      <x:c r="H183" s="8" t="str">
        <x:v>collected</x:v>
      </x:c>
      <x:c r="I183" s="8" t="str"/>
      <x:c r="J183" s="10" t="str"/>
      <x:c r="K183" s="8" t="str">
        <x:f>IF(COUNTIF('Usuarios'!$A$2:$A$61,B183)=1,"OK","ERROR")</x:f>
        <x:v>OK</x:v>
      </x:c>
      <x:c r="L183" s="8" t="str">
        <x:f>IF(COUNTIF('Objetos'!$A$2:$A$181,C183)=1,"OK","ERROR")</x:f>
        <x:v>OK</x:v>
      </x:c>
      <x:c r="M183" s="8" t="str">
        <x:f>IF(COUNTIF('Centros'!$A$2:$A$13,D183)=1,"OK","ERROR")</x:f>
        <x:v>OK</x:v>
      </x:c>
      <x:c r="N183" s="8" t="str">
        <x:f>IF(AND(G183&gt;F183,G183-F183&lt;=INDEX('Objetos'!$J$2:$J$181,MATCH(C183,'Objetos'!$A$2:$A$181,0))),"OK","ERROR")</x:f>
        <x:v>OK</x:v>
      </x:c>
    </x:row>
    <x:row r="184">
      <x:c r="A184" s="8" t="str">
        <x:v>RSV-000183</x:v>
      </x:c>
      <x:c r="B184" s="8" t="str">
        <x:v>USR-0028</x:v>
      </x:c>
      <x:c r="C184" s="8" t="str">
        <x:v>ITM-000004</x:v>
      </x:c>
      <x:c r="D184" s="8" t="str">
        <x:v>HUB-MAD-004</x:v>
      </x:c>
      <x:c r="E184" s="10" t="n">
        <x:v>46257.5</x:v>
      </x:c>
      <x:c r="F184" s="10" t="n">
        <x:v>46263.5</x:v>
      </x:c>
      <x:c r="G184" s="10" t="n">
        <x:v>46266.5</x:v>
      </x:c>
      <x:c r="H184" s="8" t="str">
        <x:v>collected</x:v>
      </x:c>
      <x:c r="I184" s="8" t="str"/>
      <x:c r="J184" s="10" t="str"/>
      <x:c r="K184" s="8" t="str">
        <x:f>IF(COUNTIF('Usuarios'!$A$2:$A$61,B184)=1,"OK","ERROR")</x:f>
        <x:v>OK</x:v>
      </x:c>
      <x:c r="L184" s="8" t="str">
        <x:f>IF(COUNTIF('Objetos'!$A$2:$A$181,C184)=1,"OK","ERROR")</x:f>
        <x:v>OK</x:v>
      </x:c>
      <x:c r="M184" s="8" t="str">
        <x:f>IF(COUNTIF('Centros'!$A$2:$A$13,D184)=1,"OK","ERROR")</x:f>
        <x:v>OK</x:v>
      </x:c>
      <x:c r="N184" s="8" t="str">
        <x:f>IF(AND(G184&gt;F184,G184-F184&lt;=INDEX('Objetos'!$J$2:$J$181,MATCH(C184,'Objetos'!$A$2:$A$181,0))),"OK","ERROR")</x:f>
        <x:v>OK</x:v>
      </x:c>
    </x:row>
    <x:row r="185">
      <x:c r="A185" s="8" t="str">
        <x:v>RSV-000184</x:v>
      </x:c>
      <x:c r="B185" s="8" t="str">
        <x:v>USR-0039</x:v>
      </x:c>
      <x:c r="C185" s="8" t="str">
        <x:v>ITM-000005</x:v>
      </x:c>
      <x:c r="D185" s="8" t="str">
        <x:v>HUB-MAD-005</x:v>
      </x:c>
      <x:c r="E185" s="10" t="n">
        <x:v>46256.5</x:v>
      </x:c>
      <x:c r="F185" s="10" t="n">
        <x:v>46262.5</x:v>
      </x:c>
      <x:c r="G185" s="10" t="n">
        <x:v>46265.5</x:v>
      </x:c>
      <x:c r="H185" s="8" t="str">
        <x:v>collected</x:v>
      </x:c>
      <x:c r="I185" s="8" t="str">
        <x:v>Confirmar que incluye todos los accesorios.</x:v>
      </x:c>
      <x:c r="J185" s="10" t="str"/>
      <x:c r="K185" s="8" t="str">
        <x:f>IF(COUNTIF('Usuarios'!$A$2:$A$61,B185)=1,"OK","ERROR")</x:f>
        <x:v>OK</x:v>
      </x:c>
      <x:c r="L185" s="8" t="str">
        <x:f>IF(COUNTIF('Objetos'!$A$2:$A$181,C185)=1,"OK","ERROR")</x:f>
        <x:v>OK</x:v>
      </x:c>
      <x:c r="M185" s="8" t="str">
        <x:f>IF(COUNTIF('Centros'!$A$2:$A$13,D185)=1,"OK","ERROR")</x:f>
        <x:v>OK</x:v>
      </x:c>
      <x:c r="N185" s="8" t="str">
        <x:f>IF(AND(G185&gt;F185,G185-F185&lt;=INDEX('Objetos'!$J$2:$J$181,MATCH(C185,'Objetos'!$A$2:$A$181,0))),"OK","ERROR")</x:f>
        <x:v>OK</x:v>
      </x:c>
    </x:row>
    <x:row r="186">
      <x:c r="A186" s="8" t="str">
        <x:v>RSV-000185</x:v>
      </x:c>
      <x:c r="B186" s="8" t="str">
        <x:v>USR-0051</x:v>
      </x:c>
      <x:c r="C186" s="8" t="str">
        <x:v>ITM-000006</x:v>
      </x:c>
      <x:c r="D186" s="8" t="str">
        <x:v>HUB-MAD-006</x:v>
      </x:c>
      <x:c r="E186" s="10" t="n">
        <x:v>46257.5</x:v>
      </x:c>
      <x:c r="F186" s="10" t="n">
        <x:v>46263.5</x:v>
      </x:c>
      <x:c r="G186" s="10" t="n">
        <x:v>46266.5</x:v>
      </x:c>
      <x:c r="H186" s="8" t="str">
        <x:v>collected</x:v>
      </x:c>
      <x:c r="I186" s="8" t="str"/>
      <x:c r="J186" s="10" t="str"/>
      <x:c r="K186" s="8" t="str">
        <x:f>IF(COUNTIF('Usuarios'!$A$2:$A$61,B186)=1,"OK","ERROR")</x:f>
        <x:v>OK</x:v>
      </x:c>
      <x:c r="L186" s="8" t="str">
        <x:f>IF(COUNTIF('Objetos'!$A$2:$A$181,C186)=1,"OK","ERROR")</x:f>
        <x:v>OK</x:v>
      </x:c>
      <x:c r="M186" s="8" t="str">
        <x:f>IF(COUNTIF('Centros'!$A$2:$A$13,D186)=1,"OK","ERROR")</x:f>
        <x:v>OK</x:v>
      </x:c>
      <x:c r="N186" s="8" t="str">
        <x:f>IF(AND(G186&gt;F186,G186-F186&lt;=INDEX('Objetos'!$J$2:$J$181,MATCH(C186,'Objetos'!$A$2:$A$181,0))),"OK","ERROR")</x:f>
        <x:v>OK</x:v>
      </x:c>
    </x:row>
    <x:row r="187">
      <x:c r="A187" s="8" t="str">
        <x:v>RSV-000186</x:v>
      </x:c>
      <x:c r="B187" s="8" t="str">
        <x:v>USR-0003</x:v>
      </x:c>
      <x:c r="C187" s="8" t="str">
        <x:v>ITM-000007</x:v>
      </x:c>
      <x:c r="D187" s="8" t="str">
        <x:v>HUB-MAD-007</x:v>
      </x:c>
      <x:c r="E187" s="10" t="n">
        <x:v>46256.5</x:v>
      </x:c>
      <x:c r="F187" s="10" t="n">
        <x:v>46262.5</x:v>
      </x:c>
      <x:c r="G187" s="10" t="n">
        <x:v>46265.5</x:v>
      </x:c>
      <x:c r="H187" s="8" t="str">
        <x:v>overdue</x:v>
      </x:c>
      <x:c r="I187" s="8" t="str"/>
      <x:c r="J187" s="10" t="str"/>
      <x:c r="K187" s="8" t="str">
        <x:f>IF(COUNTIF('Usuarios'!$A$2:$A$61,B187)=1,"OK","ERROR")</x:f>
        <x:v>OK</x:v>
      </x:c>
      <x:c r="L187" s="8" t="str">
        <x:f>IF(COUNTIF('Objetos'!$A$2:$A$181,C187)=1,"OK","ERROR")</x:f>
        <x:v>OK</x:v>
      </x:c>
      <x:c r="M187" s="8" t="str">
        <x:f>IF(COUNTIF('Centros'!$A$2:$A$13,D187)=1,"OK","ERROR")</x:f>
        <x:v>OK</x:v>
      </x:c>
      <x:c r="N187" s="8" t="str">
        <x:f>IF(AND(G187&gt;F187,G187-F187&lt;=INDEX('Objetos'!$J$2:$J$181,MATCH(C187,'Objetos'!$A$2:$A$181,0))),"OK","ERROR")</x:f>
        <x:v>OK</x:v>
      </x:c>
    </x:row>
    <x:row r="188">
      <x:c r="A188" s="8" t="str">
        <x:v>RSV-000187</x:v>
      </x:c>
      <x:c r="B188" s="8" t="str">
        <x:v>USR-0014</x:v>
      </x:c>
      <x:c r="C188" s="8" t="str">
        <x:v>ITM-000008</x:v>
      </x:c>
      <x:c r="D188" s="8" t="str">
        <x:v>HUB-MAD-008</x:v>
      </x:c>
      <x:c r="E188" s="10" t="n">
        <x:v>46257.5</x:v>
      </x:c>
      <x:c r="F188" s="10" t="n">
        <x:v>46263.5</x:v>
      </x:c>
      <x:c r="G188" s="10" t="n">
        <x:v>46266.5</x:v>
      </x:c>
      <x:c r="H188" s="8" t="str">
        <x:v>overdue</x:v>
      </x:c>
      <x:c r="I188" s="8" t="str">
        <x:v>Confirmar que incluye todos los accesorios.</x:v>
      </x:c>
      <x:c r="J188" s="10" t="str"/>
      <x:c r="K188" s="8" t="str">
        <x:f>IF(COUNTIF('Usuarios'!$A$2:$A$61,B188)=1,"OK","ERROR")</x:f>
        <x:v>OK</x:v>
      </x:c>
      <x:c r="L188" s="8" t="str">
        <x:f>IF(COUNTIF('Objetos'!$A$2:$A$181,C188)=1,"OK","ERROR")</x:f>
        <x:v>OK</x:v>
      </x:c>
      <x:c r="M188" s="8" t="str">
        <x:f>IF(COUNTIF('Centros'!$A$2:$A$13,D188)=1,"OK","ERROR")</x:f>
        <x:v>OK</x:v>
      </x:c>
      <x:c r="N188" s="8" t="str">
        <x:f>IF(AND(G188&gt;F188,G188-F188&lt;=INDEX('Objetos'!$J$2:$J$181,MATCH(C188,'Objetos'!$A$2:$A$181,0))),"OK","ERROR")</x:f>
        <x:v>OK</x:v>
      </x:c>
    </x:row>
    <x:row r="189">
      <x:c r="A189" s="8" t="str">
        <x:v>RSV-000188</x:v>
      </x:c>
      <x:c r="B189" s="8" t="str">
        <x:v>USR-0026</x:v>
      </x:c>
      <x:c r="C189" s="8" t="str">
        <x:v>ITM-000009</x:v>
      </x:c>
      <x:c r="D189" s="8" t="str">
        <x:v>HUB-MAD-009</x:v>
      </x:c>
      <x:c r="E189" s="10" t="n">
        <x:v>46256.5</x:v>
      </x:c>
      <x:c r="F189" s="10" t="n">
        <x:v>46262.5</x:v>
      </x:c>
      <x:c r="G189" s="10" t="n">
        <x:v>46265.5</x:v>
      </x:c>
      <x:c r="H189" s="8" t="str">
        <x:v>overdue</x:v>
      </x:c>
      <x:c r="I189" s="8" t="str"/>
      <x:c r="J189" s="10" t="str"/>
      <x:c r="K189" s="8" t="str">
        <x:f>IF(COUNTIF('Usuarios'!$A$2:$A$61,B189)=1,"OK","ERROR")</x:f>
        <x:v>OK</x:v>
      </x:c>
      <x:c r="L189" s="8" t="str">
        <x:f>IF(COUNTIF('Objetos'!$A$2:$A$181,C189)=1,"OK","ERROR")</x:f>
        <x:v>OK</x:v>
      </x:c>
      <x:c r="M189" s="8" t="str">
        <x:f>IF(COUNTIF('Centros'!$A$2:$A$13,D189)=1,"OK","ERROR")</x:f>
        <x:v>OK</x:v>
      </x:c>
      <x:c r="N189" s="8" t="str">
        <x:f>IF(AND(G189&gt;F189,G189-F189&lt;=INDEX('Objetos'!$J$2:$J$181,MATCH(C189,'Objetos'!$A$2:$A$181,0))),"OK","ERROR")</x:f>
        <x:v>OK</x:v>
      </x:c>
    </x:row>
    <x:row r="190">
      <x:c r="A190" s="8" t="str">
        <x:v>RSV-000189</x:v>
      </x:c>
      <x:c r="B190" s="8" t="str">
        <x:v>USR-0037</x:v>
      </x:c>
      <x:c r="C190" s="8" t="str">
        <x:v>ITM-000010</x:v>
      </x:c>
      <x:c r="D190" s="8" t="str">
        <x:v>HUB-MAD-010</x:v>
      </x:c>
      <x:c r="E190" s="10" t="n">
        <x:v>46257.5</x:v>
      </x:c>
      <x:c r="F190" s="10" t="n">
        <x:v>46263.5</x:v>
      </x:c>
      <x:c r="G190" s="10" t="n">
        <x:v>46266.5</x:v>
      </x:c>
      <x:c r="H190" s="8" t="str">
        <x:v>overdue</x:v>
      </x:c>
      <x:c r="I190" s="8" t="str"/>
      <x:c r="J190" s="10" t="str"/>
      <x:c r="K190" s="8" t="str">
        <x:f>IF(COUNTIF('Usuarios'!$A$2:$A$61,B190)=1,"OK","ERROR")</x:f>
        <x:v>OK</x:v>
      </x:c>
      <x:c r="L190" s="8" t="str">
        <x:f>IF(COUNTIF('Objetos'!$A$2:$A$181,C190)=1,"OK","ERROR")</x:f>
        <x:v>OK</x:v>
      </x:c>
      <x:c r="M190" s="8" t="str">
        <x:f>IF(COUNTIF('Centros'!$A$2:$A$13,D190)=1,"OK","ERROR")</x:f>
        <x:v>OK</x:v>
      </x:c>
      <x:c r="N190" s="8" t="str">
        <x:f>IF(AND(G190&gt;F190,G190-F190&lt;=INDEX('Objetos'!$J$2:$J$181,MATCH(C190,'Objetos'!$A$2:$A$181,0))),"OK","ERROR")</x:f>
        <x:v>OK</x:v>
      </x:c>
    </x:row>
    <x:row r="191">
      <x:c r="A191" s="8" t="str">
        <x:v>RSV-000190</x:v>
      </x:c>
      <x:c r="B191" s="8" t="str">
        <x:v>USR-0049</x:v>
      </x:c>
      <x:c r="C191" s="8" t="str">
        <x:v>ITM-000011</x:v>
      </x:c>
      <x:c r="D191" s="8" t="str">
        <x:v>HUB-MAD-011</x:v>
      </x:c>
      <x:c r="E191" s="10" t="n">
        <x:v>46256.5</x:v>
      </x:c>
      <x:c r="F191" s="10" t="n">
        <x:v>46262.5</x:v>
      </x:c>
      <x:c r="G191" s="10" t="n">
        <x:v>46265.5</x:v>
      </x:c>
      <x:c r="H191" s="8" t="str">
        <x:v>overdue</x:v>
      </x:c>
      <x:c r="I191" s="8" t="str">
        <x:v>Confirmar que incluye todos los accesorios.</x:v>
      </x:c>
      <x:c r="J191" s="10" t="str"/>
      <x:c r="K191" s="8" t="str">
        <x:f>IF(COUNTIF('Usuarios'!$A$2:$A$61,B191)=1,"OK","ERROR")</x:f>
        <x:v>OK</x:v>
      </x:c>
      <x:c r="L191" s="8" t="str">
        <x:f>IF(COUNTIF('Objetos'!$A$2:$A$181,C191)=1,"OK","ERROR")</x:f>
        <x:v>OK</x:v>
      </x:c>
      <x:c r="M191" s="8" t="str">
        <x:f>IF(COUNTIF('Centros'!$A$2:$A$13,D191)=1,"OK","ERROR")</x:f>
        <x:v>OK</x:v>
      </x:c>
      <x:c r="N191" s="8" t="str">
        <x:f>IF(AND(G191&gt;F191,G191-F191&lt;=INDEX('Objetos'!$J$2:$J$181,MATCH(C191,'Objetos'!$A$2:$A$181,0))),"OK","ERROR")</x:f>
        <x:v>OK</x:v>
      </x:c>
    </x:row>
    <x:row r="192">
      <x:c r="A192" s="8" t="str">
        <x:v>RSV-000191</x:v>
      </x:c>
      <x:c r="B192" s="8" t="str">
        <x:v>USR-0060</x:v>
      </x:c>
      <x:c r="C192" s="8" t="str">
        <x:v>ITM-000012</x:v>
      </x:c>
      <x:c r="D192" s="8" t="str">
        <x:v>HUB-MAD-012</x:v>
      </x:c>
      <x:c r="E192" s="10" t="n">
        <x:v>46272.5</x:v>
      </x:c>
      <x:c r="F192" s="10" t="n">
        <x:v>46278.5</x:v>
      </x:c>
      <x:c r="G192" s="10" t="n">
        <x:v>46281.5</x:v>
      </x:c>
      <x:c r="H192" s="8" t="str">
        <x:v>approved</x:v>
      </x:c>
      <x:c r="I192" s="8" t="str"/>
      <x:c r="J192" s="10" t="str"/>
      <x:c r="K192" s="8" t="str">
        <x:f>IF(COUNTIF('Usuarios'!$A$2:$A$61,B192)=1,"OK","ERROR")</x:f>
        <x:v>OK</x:v>
      </x:c>
      <x:c r="L192" s="8" t="str">
        <x:f>IF(COUNTIF('Objetos'!$A$2:$A$181,C192)=1,"OK","ERROR")</x:f>
        <x:v>OK</x:v>
      </x:c>
      <x:c r="M192" s="8" t="str">
        <x:f>IF(COUNTIF('Centros'!$A$2:$A$13,D192)=1,"OK","ERROR")</x:f>
        <x:v>OK</x:v>
      </x:c>
      <x:c r="N192" s="8" t="str">
        <x:f>IF(AND(G192&gt;F192,G192-F192&lt;=INDEX('Objetos'!$J$2:$J$181,MATCH(C192,'Objetos'!$A$2:$A$181,0))),"OK","ERROR")</x:f>
        <x:v>OK</x:v>
      </x:c>
    </x:row>
    <x:row r="193">
      <x:c r="A193" s="8" t="str">
        <x:v>RSV-000192</x:v>
      </x:c>
      <x:c r="B193" s="8" t="str">
        <x:v>USR-0012</x:v>
      </x:c>
      <x:c r="C193" s="8" t="str">
        <x:v>ITM-000013</x:v>
      </x:c>
      <x:c r="D193" s="8" t="str">
        <x:v>HUB-MAD-001</x:v>
      </x:c>
      <x:c r="E193" s="10" t="n">
        <x:v>46273.5</x:v>
      </x:c>
      <x:c r="F193" s="10" t="n">
        <x:v>46279.5</x:v>
      </x:c>
      <x:c r="G193" s="10" t="n">
        <x:v>46282.5</x:v>
      </x:c>
      <x:c r="H193" s="8" t="str">
        <x:v>approved</x:v>
      </x:c>
      <x:c r="I193" s="8" t="str"/>
      <x:c r="J193" s="10" t="str"/>
      <x:c r="K193" s="8" t="str">
        <x:f>IF(COUNTIF('Usuarios'!$A$2:$A$61,B193)=1,"OK","ERROR")</x:f>
        <x:v>OK</x:v>
      </x:c>
      <x:c r="L193" s="8" t="str">
        <x:f>IF(COUNTIF('Objetos'!$A$2:$A$181,C193)=1,"OK","ERROR")</x:f>
        <x:v>OK</x:v>
      </x:c>
      <x:c r="M193" s="8" t="str">
        <x:f>IF(COUNTIF('Centros'!$A$2:$A$13,D193)=1,"OK","ERROR")</x:f>
        <x:v>OK</x:v>
      </x:c>
      <x:c r="N193" s="8" t="str">
        <x:f>IF(AND(G193&gt;F193,G193-F193&lt;=INDEX('Objetos'!$J$2:$J$181,MATCH(C193,'Objetos'!$A$2:$A$181,0))),"OK","ERROR")</x:f>
        <x:v>OK</x:v>
      </x:c>
    </x:row>
    <x:row r="194">
      <x:c r="A194" s="8" t="str">
        <x:v>RSV-000193</x:v>
      </x:c>
      <x:c r="B194" s="8" t="str">
        <x:v>USR-0023</x:v>
      </x:c>
      <x:c r="C194" s="8" t="str">
        <x:v>ITM-000014</x:v>
      </x:c>
      <x:c r="D194" s="8" t="str">
        <x:v>HUB-MAD-002</x:v>
      </x:c>
      <x:c r="E194" s="10" t="n">
        <x:v>46274.5</x:v>
      </x:c>
      <x:c r="F194" s="10" t="n">
        <x:v>46280.5</x:v>
      </x:c>
      <x:c r="G194" s="10" t="n">
        <x:v>46283.5</x:v>
      </x:c>
      <x:c r="H194" s="8" t="str">
        <x:v>approved</x:v>
      </x:c>
      <x:c r="I194" s="8" t="str">
        <x:v>Confirmar que incluye todos los accesorios.</x:v>
      </x:c>
      <x:c r="J194" s="10" t="str"/>
      <x:c r="K194" s="8" t="str">
        <x:f>IF(COUNTIF('Usuarios'!$A$2:$A$61,B194)=1,"OK","ERROR")</x:f>
        <x:v>OK</x:v>
      </x:c>
      <x:c r="L194" s="8" t="str">
        <x:f>IF(COUNTIF('Objetos'!$A$2:$A$181,C194)=1,"OK","ERROR")</x:f>
        <x:v>OK</x:v>
      </x:c>
      <x:c r="M194" s="8" t="str">
        <x:f>IF(COUNTIF('Centros'!$A$2:$A$13,D194)=1,"OK","ERROR")</x:f>
        <x:v>OK</x:v>
      </x:c>
      <x:c r="N194" s="8" t="str">
        <x:f>IF(AND(G194&gt;F194,G194-F194&lt;=INDEX('Objetos'!$J$2:$J$181,MATCH(C194,'Objetos'!$A$2:$A$181,0))),"OK","ERROR")</x:f>
        <x:v>OK</x:v>
      </x:c>
    </x:row>
    <x:row r="195">
      <x:c r="A195" s="8" t="str">
        <x:v>RSV-000194</x:v>
      </x:c>
      <x:c r="B195" s="8" t="str">
        <x:v>USR-0035</x:v>
      </x:c>
      <x:c r="C195" s="8" t="str">
        <x:v>ITM-000015</x:v>
      </x:c>
      <x:c r="D195" s="8" t="str">
        <x:v>HUB-MAD-003</x:v>
      </x:c>
      <x:c r="E195" s="10" t="n">
        <x:v>46275.5</x:v>
      </x:c>
      <x:c r="F195" s="10" t="n">
        <x:v>46281.5</x:v>
      </x:c>
      <x:c r="G195" s="10" t="n">
        <x:v>46284.5</x:v>
      </x:c>
      <x:c r="H195" s="8" t="str">
        <x:v>approved</x:v>
      </x:c>
      <x:c r="I195" s="8" t="str"/>
      <x:c r="J195" s="10" t="str"/>
      <x:c r="K195" s="8" t="str">
        <x:f>IF(COUNTIF('Usuarios'!$A$2:$A$61,B195)=1,"OK","ERROR")</x:f>
        <x:v>OK</x:v>
      </x:c>
      <x:c r="L195" s="8" t="str">
        <x:f>IF(COUNTIF('Objetos'!$A$2:$A$181,C195)=1,"OK","ERROR")</x:f>
        <x:v>OK</x:v>
      </x:c>
      <x:c r="M195" s="8" t="str">
        <x:f>IF(COUNTIF('Centros'!$A$2:$A$13,D195)=1,"OK","ERROR")</x:f>
        <x:v>OK</x:v>
      </x:c>
      <x:c r="N195" s="8" t="str">
        <x:f>IF(AND(G195&gt;F195,G195-F195&lt;=INDEX('Objetos'!$J$2:$J$181,MATCH(C195,'Objetos'!$A$2:$A$181,0))),"OK","ERROR")</x:f>
        <x:v>OK</x:v>
      </x:c>
    </x:row>
    <x:row r="196">
      <x:c r="A196" s="8" t="str">
        <x:v>RSV-000195</x:v>
      </x:c>
      <x:c r="B196" s="8" t="str">
        <x:v>USR-0046</x:v>
      </x:c>
      <x:c r="C196" s="8" t="str">
        <x:v>ITM-000016</x:v>
      </x:c>
      <x:c r="D196" s="8" t="str">
        <x:v>HUB-MAD-004</x:v>
      </x:c>
      <x:c r="E196" s="10" t="n">
        <x:v>46276.5</x:v>
      </x:c>
      <x:c r="F196" s="10" t="n">
        <x:v>46282.5</x:v>
      </x:c>
      <x:c r="G196" s="10" t="n">
        <x:v>46285.5</x:v>
      </x:c>
      <x:c r="H196" s="8" t="str">
        <x:v>approved</x:v>
      </x:c>
      <x:c r="I196" s="8" t="str"/>
      <x:c r="J196" s="10" t="str"/>
      <x:c r="K196" s="8" t="str">
        <x:f>IF(COUNTIF('Usuarios'!$A$2:$A$61,B196)=1,"OK","ERROR")</x:f>
        <x:v>OK</x:v>
      </x:c>
      <x:c r="L196" s="8" t="str">
        <x:f>IF(COUNTIF('Objetos'!$A$2:$A$181,C196)=1,"OK","ERROR")</x:f>
        <x:v>OK</x:v>
      </x:c>
      <x:c r="M196" s="8" t="str">
        <x:f>IF(COUNTIF('Centros'!$A$2:$A$13,D196)=1,"OK","ERROR")</x:f>
        <x:v>OK</x:v>
      </x:c>
      <x:c r="N196" s="8" t="str">
        <x:f>IF(AND(G196&gt;F196,G196-F196&lt;=INDEX('Objetos'!$J$2:$J$181,MATCH(C196,'Objetos'!$A$2:$A$181,0))),"OK","ERROR")</x:f>
        <x:v>OK</x:v>
      </x:c>
    </x:row>
    <x:row r="197">
      <x:c r="A197" s="8" t="str">
        <x:v>RSV-000196</x:v>
      </x:c>
      <x:c r="B197" s="8" t="str">
        <x:v>USR-0058</x:v>
      </x:c>
      <x:c r="C197" s="8" t="str">
        <x:v>ITM-000017</x:v>
      </x:c>
      <x:c r="D197" s="8" t="str">
        <x:v>HUB-MAD-005</x:v>
      </x:c>
      <x:c r="E197" s="10" t="n">
        <x:v>46277.5</x:v>
      </x:c>
      <x:c r="F197" s="10" t="n">
        <x:v>46283.5</x:v>
      </x:c>
      <x:c r="G197" s="10" t="n">
        <x:v>46286.5</x:v>
      </x:c>
      <x:c r="H197" s="8" t="str">
        <x:v>approved</x:v>
      </x:c>
      <x:c r="I197" s="8" t="str">
        <x:v>Confirmar que incluye todos los accesorios.</x:v>
      </x:c>
      <x:c r="J197" s="10" t="str"/>
      <x:c r="K197" s="8" t="str">
        <x:f>IF(COUNTIF('Usuarios'!$A$2:$A$61,B197)=1,"OK","ERROR")</x:f>
        <x:v>OK</x:v>
      </x:c>
      <x:c r="L197" s="8" t="str">
        <x:f>IF(COUNTIF('Objetos'!$A$2:$A$181,C197)=1,"OK","ERROR")</x:f>
        <x:v>OK</x:v>
      </x:c>
      <x:c r="M197" s="8" t="str">
        <x:f>IF(COUNTIF('Centros'!$A$2:$A$13,D197)=1,"OK","ERROR")</x:f>
        <x:v>OK</x:v>
      </x:c>
      <x:c r="N197" s="8" t="str">
        <x:f>IF(AND(G197&gt;F197,G197-F197&lt;=INDEX('Objetos'!$J$2:$J$181,MATCH(C197,'Objetos'!$A$2:$A$181,0))),"OK","ERROR")</x:f>
        <x:v>OK</x:v>
      </x:c>
    </x:row>
    <x:row r="198">
      <x:c r="A198" s="8" t="str">
        <x:v>RSV-000197</x:v>
      </x:c>
      <x:c r="B198" s="8" t="str">
        <x:v>USR-0010</x:v>
      </x:c>
      <x:c r="C198" s="8" t="str">
        <x:v>ITM-000018</x:v>
      </x:c>
      <x:c r="D198" s="8" t="str">
        <x:v>HUB-MAD-006</x:v>
      </x:c>
      <x:c r="E198" s="10" t="n">
        <x:v>46278.5</x:v>
      </x:c>
      <x:c r="F198" s="10" t="n">
        <x:v>46284.5</x:v>
      </x:c>
      <x:c r="G198" s="10" t="n">
        <x:v>46287.5</x:v>
      </x:c>
      <x:c r="H198" s="8" t="str">
        <x:v>approved</x:v>
      </x:c>
      <x:c r="I198" s="8" t="str"/>
      <x:c r="J198" s="10" t="str"/>
      <x:c r="K198" s="8" t="str">
        <x:f>IF(COUNTIF('Usuarios'!$A$2:$A$61,B198)=1,"OK","ERROR")</x:f>
        <x:v>OK</x:v>
      </x:c>
      <x:c r="L198" s="8" t="str">
        <x:f>IF(COUNTIF('Objetos'!$A$2:$A$181,C198)=1,"OK","ERROR")</x:f>
        <x:v>OK</x:v>
      </x:c>
      <x:c r="M198" s="8" t="str">
        <x:f>IF(COUNTIF('Centros'!$A$2:$A$13,D198)=1,"OK","ERROR")</x:f>
        <x:v>OK</x:v>
      </x:c>
      <x:c r="N198" s="8" t="str">
        <x:f>IF(AND(G198&gt;F198,G198-F198&lt;=INDEX('Objetos'!$J$2:$J$181,MATCH(C198,'Objetos'!$A$2:$A$181,0))),"OK","ERROR")</x:f>
        <x:v>OK</x:v>
      </x:c>
    </x:row>
    <x:row r="199">
      <x:c r="A199" s="8" t="str">
        <x:v>RSV-000198</x:v>
      </x:c>
      <x:c r="B199" s="8" t="str">
        <x:v>USR-0021</x:v>
      </x:c>
      <x:c r="C199" s="8" t="str">
        <x:v>ITM-000019</x:v>
      </x:c>
      <x:c r="D199" s="8" t="str">
        <x:v>HUB-MAD-007</x:v>
      </x:c>
      <x:c r="E199" s="10" t="n">
        <x:v>46279.5</x:v>
      </x:c>
      <x:c r="F199" s="10" t="n">
        <x:v>46285.5</x:v>
      </x:c>
      <x:c r="G199" s="10" t="n">
        <x:v>46288.5</x:v>
      </x:c>
      <x:c r="H199" s="8" t="str">
        <x:v>approved</x:v>
      </x:c>
      <x:c r="I199" s="8" t="str"/>
      <x:c r="J199" s="10" t="str"/>
      <x:c r="K199" s="8" t="str">
        <x:f>IF(COUNTIF('Usuarios'!$A$2:$A$61,B199)=1,"OK","ERROR")</x:f>
        <x:v>OK</x:v>
      </x:c>
      <x:c r="L199" s="8" t="str">
        <x:f>IF(COUNTIF('Objetos'!$A$2:$A$181,C199)=1,"OK","ERROR")</x:f>
        <x:v>OK</x:v>
      </x:c>
      <x:c r="M199" s="8" t="str">
        <x:f>IF(COUNTIF('Centros'!$A$2:$A$13,D199)=1,"OK","ERROR")</x:f>
        <x:v>OK</x:v>
      </x:c>
      <x:c r="N199" s="8" t="str">
        <x:f>IF(AND(G199&gt;F199,G199-F199&lt;=INDEX('Objetos'!$J$2:$J$181,MATCH(C199,'Objetos'!$A$2:$A$181,0))),"OK","ERROR")</x:f>
        <x:v>OK</x:v>
      </x:c>
    </x:row>
    <x:row r="200">
      <x:c r="A200" s="8" t="str">
        <x:v>RSV-000199</x:v>
      </x:c>
      <x:c r="B200" s="8" t="str">
        <x:v>USR-0033</x:v>
      </x:c>
      <x:c r="C200" s="8" t="str">
        <x:v>ITM-000020</x:v>
      </x:c>
      <x:c r="D200" s="8" t="str">
        <x:v>HUB-MAD-008</x:v>
      </x:c>
      <x:c r="E200" s="10" t="n">
        <x:v>46280.5</x:v>
      </x:c>
      <x:c r="F200" s="10" t="n">
        <x:v>46286.5</x:v>
      </x:c>
      <x:c r="G200" s="10" t="n">
        <x:v>46289.5</x:v>
      </x:c>
      <x:c r="H200" s="8" t="str">
        <x:v>approved</x:v>
      </x:c>
      <x:c r="I200" s="8" t="str">
        <x:v>Confirmar que incluye todos los accesorios.</x:v>
      </x:c>
      <x:c r="J200" s="10" t="str"/>
      <x:c r="K200" s="8" t="str">
        <x:f>IF(COUNTIF('Usuarios'!$A$2:$A$61,B200)=1,"OK","ERROR")</x:f>
        <x:v>OK</x:v>
      </x:c>
      <x:c r="L200" s="8" t="str">
        <x:f>IF(COUNTIF('Objetos'!$A$2:$A$181,C200)=1,"OK","ERROR")</x:f>
        <x:v>OK</x:v>
      </x:c>
      <x:c r="M200" s="8" t="str">
        <x:f>IF(COUNTIF('Centros'!$A$2:$A$13,D200)=1,"OK","ERROR")</x:f>
        <x:v>OK</x:v>
      </x:c>
      <x:c r="N200" s="8" t="str">
        <x:f>IF(AND(G200&gt;F200,G200-F200&lt;=INDEX('Objetos'!$J$2:$J$181,MATCH(C200,'Objetos'!$A$2:$A$181,0))),"OK","ERROR")</x:f>
        <x:v>OK</x:v>
      </x:c>
    </x:row>
    <x:row r="201">
      <x:c r="A201" s="8" t="str">
        <x:v>RSV-000200</x:v>
      </x:c>
      <x:c r="B201" s="8" t="str">
        <x:v>USR-0044</x:v>
      </x:c>
      <x:c r="C201" s="8" t="str">
        <x:v>ITM-000021</x:v>
      </x:c>
      <x:c r="D201" s="8" t="str">
        <x:v>HUB-MAD-009</x:v>
      </x:c>
      <x:c r="E201" s="10" t="n">
        <x:v>46281.5</x:v>
      </x:c>
      <x:c r="F201" s="10" t="n">
        <x:v>46287.5</x:v>
      </x:c>
      <x:c r="G201" s="10" t="n">
        <x:v>46290.5</x:v>
      </x:c>
      <x:c r="H201" s="8" t="str">
        <x:v>approved</x:v>
      </x:c>
      <x:c r="I201" s="8" t="str"/>
      <x:c r="J201" s="10" t="str"/>
      <x:c r="K201" s="8" t="str">
        <x:f>IF(COUNTIF('Usuarios'!$A$2:$A$61,B201)=1,"OK","ERROR")</x:f>
        <x:v>OK</x:v>
      </x:c>
      <x:c r="L201" s="8" t="str">
        <x:f>IF(COUNTIF('Objetos'!$A$2:$A$181,C201)=1,"OK","ERROR")</x:f>
        <x:v>OK</x:v>
      </x:c>
      <x:c r="M201" s="8" t="str">
        <x:f>IF(COUNTIF('Centros'!$A$2:$A$13,D201)=1,"OK","ERROR")</x:f>
        <x:v>OK</x:v>
      </x:c>
      <x:c r="N201" s="8" t="str">
        <x:f>IF(AND(G201&gt;F201,G201-F201&lt;=INDEX('Objetos'!$J$2:$J$181,MATCH(C201,'Objetos'!$A$2:$A$181,0))),"OK","ERROR")</x:f>
        <x:v>OK</x:v>
      </x:c>
    </x:row>
    <x:row r="202">
      <x:c r="A202" s="8" t="str">
        <x:v>RSV-000201</x:v>
      </x:c>
      <x:c r="B202" s="8" t="str">
        <x:v>USR-0056</x:v>
      </x:c>
      <x:c r="C202" s="8" t="str">
        <x:v>ITM-000022</x:v>
      </x:c>
      <x:c r="D202" s="8" t="str">
        <x:v>HUB-MAD-010</x:v>
      </x:c>
      <x:c r="E202" s="10" t="n">
        <x:v>46282.5</x:v>
      </x:c>
      <x:c r="F202" s="10" t="n">
        <x:v>46288.5</x:v>
      </x:c>
      <x:c r="G202" s="10" t="n">
        <x:v>46291.5</x:v>
      </x:c>
      <x:c r="H202" s="8" t="str">
        <x:v>approved</x:v>
      </x:c>
      <x:c r="I202" s="8" t="str"/>
      <x:c r="J202" s="10" t="str"/>
      <x:c r="K202" s="8" t="str">
        <x:f>IF(COUNTIF('Usuarios'!$A$2:$A$61,B202)=1,"OK","ERROR")</x:f>
        <x:v>OK</x:v>
      </x:c>
      <x:c r="L202" s="8" t="str">
        <x:f>IF(COUNTIF('Objetos'!$A$2:$A$181,C202)=1,"OK","ERROR")</x:f>
        <x:v>OK</x:v>
      </x:c>
      <x:c r="M202" s="8" t="str">
        <x:f>IF(COUNTIF('Centros'!$A$2:$A$13,D202)=1,"OK","ERROR")</x:f>
        <x:v>OK</x:v>
      </x:c>
      <x:c r="N202" s="8" t="str">
        <x:f>IF(AND(G202&gt;F202,G202-F202&lt;=INDEX('Objetos'!$J$2:$J$181,MATCH(C202,'Objetos'!$A$2:$A$181,0))),"OK","ERROR")</x:f>
        <x:v>OK</x:v>
      </x:c>
    </x:row>
    <x:row r="203">
      <x:c r="A203" s="8" t="str">
        <x:v>RSV-000202</x:v>
      </x:c>
      <x:c r="B203" s="8" t="str">
        <x:v>USR-0008</x:v>
      </x:c>
      <x:c r="C203" s="8" t="str">
        <x:v>ITM-000023</x:v>
      </x:c>
      <x:c r="D203" s="8" t="str">
        <x:v>HUB-MAD-011</x:v>
      </x:c>
      <x:c r="E203" s="10" t="n">
        <x:v>46283.5</x:v>
      </x:c>
      <x:c r="F203" s="10" t="n">
        <x:v>46289.5</x:v>
      </x:c>
      <x:c r="G203" s="10" t="n">
        <x:v>46292.5</x:v>
      </x:c>
      <x:c r="H203" s="8" t="str">
        <x:v>approved</x:v>
      </x:c>
      <x:c r="I203" s="8" t="str">
        <x:v>Confirmar que incluye todos los accesorios.</x:v>
      </x:c>
      <x:c r="J203" s="10" t="str"/>
      <x:c r="K203" s="8" t="str">
        <x:f>IF(COUNTIF('Usuarios'!$A$2:$A$61,B203)=1,"OK","ERROR")</x:f>
        <x:v>OK</x:v>
      </x:c>
      <x:c r="L203" s="8" t="str">
        <x:f>IF(COUNTIF('Objetos'!$A$2:$A$181,C203)=1,"OK","ERROR")</x:f>
        <x:v>OK</x:v>
      </x:c>
      <x:c r="M203" s="8" t="str">
        <x:f>IF(COUNTIF('Centros'!$A$2:$A$13,D203)=1,"OK","ERROR")</x:f>
        <x:v>OK</x:v>
      </x:c>
      <x:c r="N203" s="8" t="str">
        <x:f>IF(AND(G203&gt;F203,G203-F203&lt;=INDEX('Objetos'!$J$2:$J$181,MATCH(C203,'Objetos'!$A$2:$A$181,0))),"OK","ERROR")</x:f>
        <x:v>OK</x:v>
      </x:c>
    </x:row>
    <x:row r="204">
      <x:c r="A204" s="8" t="str">
        <x:v>RSV-000203</x:v>
      </x:c>
      <x:c r="B204" s="8" t="str">
        <x:v>USR-0019</x:v>
      </x:c>
      <x:c r="C204" s="8" t="str">
        <x:v>ITM-000024</x:v>
      </x:c>
      <x:c r="D204" s="8" t="str">
        <x:v>HUB-MAD-012</x:v>
      </x:c>
      <x:c r="E204" s="10" t="n">
        <x:v>46284.5</x:v>
      </x:c>
      <x:c r="F204" s="10" t="n">
        <x:v>46290.5</x:v>
      </x:c>
      <x:c r="G204" s="10" t="n">
        <x:v>46293.5</x:v>
      </x:c>
      <x:c r="H204" s="8" t="str">
        <x:v>approved</x:v>
      </x:c>
      <x:c r="I204" s="8" t="str"/>
      <x:c r="J204" s="10" t="str"/>
      <x:c r="K204" s="8" t="str">
        <x:f>IF(COUNTIF('Usuarios'!$A$2:$A$61,B204)=1,"OK","ERROR")</x:f>
        <x:v>OK</x:v>
      </x:c>
      <x:c r="L204" s="8" t="str">
        <x:f>IF(COUNTIF('Objetos'!$A$2:$A$181,C204)=1,"OK","ERROR")</x:f>
        <x:v>OK</x:v>
      </x:c>
      <x:c r="M204" s="8" t="str">
        <x:f>IF(COUNTIF('Centros'!$A$2:$A$13,D204)=1,"OK","ERROR")</x:f>
        <x:v>OK</x:v>
      </x:c>
      <x:c r="N204" s="8" t="str">
        <x:f>IF(AND(G204&gt;F204,G204-F204&lt;=INDEX('Objetos'!$J$2:$J$181,MATCH(C204,'Objetos'!$A$2:$A$181,0))),"OK","ERROR")</x:f>
        <x:v>OK</x:v>
      </x:c>
    </x:row>
    <x:row r="205">
      <x:c r="A205" s="8" t="str">
        <x:v>RSV-000204</x:v>
      </x:c>
      <x:c r="B205" s="8" t="str">
        <x:v>USR-0031</x:v>
      </x:c>
      <x:c r="C205" s="8" t="str">
        <x:v>ITM-000025</x:v>
      </x:c>
      <x:c r="D205" s="8" t="str">
        <x:v>HUB-MAD-001</x:v>
      </x:c>
      <x:c r="E205" s="10" t="n">
        <x:v>46285.5</x:v>
      </x:c>
      <x:c r="F205" s="10" t="n">
        <x:v>46291.5</x:v>
      </x:c>
      <x:c r="G205" s="10" t="n">
        <x:v>46294.5</x:v>
      </x:c>
      <x:c r="H205" s="8" t="str">
        <x:v>approved</x:v>
      </x:c>
      <x:c r="I205" s="8" t="str"/>
      <x:c r="J205" s="10" t="str"/>
      <x:c r="K205" s="8" t="str">
        <x:f>IF(COUNTIF('Usuarios'!$A$2:$A$61,B205)=1,"OK","ERROR")</x:f>
        <x:v>OK</x:v>
      </x:c>
      <x:c r="L205" s="8" t="str">
        <x:f>IF(COUNTIF('Objetos'!$A$2:$A$181,C205)=1,"OK","ERROR")</x:f>
        <x:v>OK</x:v>
      </x:c>
      <x:c r="M205" s="8" t="str">
        <x:f>IF(COUNTIF('Centros'!$A$2:$A$13,D205)=1,"OK","ERROR")</x:f>
        <x:v>OK</x:v>
      </x:c>
      <x:c r="N205" s="8" t="str">
        <x:f>IF(AND(G205&gt;F205,G205-F205&lt;=INDEX('Objetos'!$J$2:$J$181,MATCH(C205,'Objetos'!$A$2:$A$181,0))),"OK","ERROR")</x:f>
        <x:v>OK</x:v>
      </x:c>
    </x:row>
    <x:row r="206">
      <x:c r="A206" s="8" t="str">
        <x:v>RSV-000205</x:v>
      </x:c>
      <x:c r="B206" s="8" t="str">
        <x:v>USR-0042</x:v>
      </x:c>
      <x:c r="C206" s="8" t="str">
        <x:v>ITM-000026</x:v>
      </x:c>
      <x:c r="D206" s="8" t="str">
        <x:v>HUB-MAD-002</x:v>
      </x:c>
      <x:c r="E206" s="10" t="n">
        <x:v>46286.5</x:v>
      </x:c>
      <x:c r="F206" s="10" t="n">
        <x:v>46292.5</x:v>
      </x:c>
      <x:c r="G206" s="10" t="n">
        <x:v>46295.5</x:v>
      </x:c>
      <x:c r="H206" s="8" t="str">
        <x:v>approved</x:v>
      </x:c>
      <x:c r="I206" s="8" t="str">
        <x:v>Confirmar que incluye todos los accesorios.</x:v>
      </x:c>
      <x:c r="J206" s="10" t="str"/>
      <x:c r="K206" s="8" t="str">
        <x:f>IF(COUNTIF('Usuarios'!$A$2:$A$61,B206)=1,"OK","ERROR")</x:f>
        <x:v>OK</x:v>
      </x:c>
      <x:c r="L206" s="8" t="str">
        <x:f>IF(COUNTIF('Objetos'!$A$2:$A$181,C206)=1,"OK","ERROR")</x:f>
        <x:v>OK</x:v>
      </x:c>
      <x:c r="M206" s="8" t="str">
        <x:f>IF(COUNTIF('Centros'!$A$2:$A$13,D206)=1,"OK","ERROR")</x:f>
        <x:v>OK</x:v>
      </x:c>
      <x:c r="N206" s="8" t="str">
        <x:f>IF(AND(G206&gt;F206,G206-F206&lt;=INDEX('Objetos'!$J$2:$J$181,MATCH(C206,'Objetos'!$A$2:$A$181,0))),"OK","ERROR")</x:f>
        <x:v>OK</x:v>
      </x:c>
    </x:row>
    <x:row r="207">
      <x:c r="A207" s="8" t="str">
        <x:v>RSV-000206</x:v>
      </x:c>
      <x:c r="B207" s="8" t="str">
        <x:v>USR-0054</x:v>
      </x:c>
      <x:c r="C207" s="8" t="str">
        <x:v>ITM-000027</x:v>
      </x:c>
      <x:c r="D207" s="8" t="str">
        <x:v>HUB-MAD-003</x:v>
      </x:c>
      <x:c r="E207" s="10" t="n">
        <x:v>46287.5</x:v>
      </x:c>
      <x:c r="F207" s="10" t="n">
        <x:v>46293.5</x:v>
      </x:c>
      <x:c r="G207" s="10" t="n">
        <x:v>46296.5</x:v>
      </x:c>
      <x:c r="H207" s="8" t="str">
        <x:v>approved</x:v>
      </x:c>
      <x:c r="I207" s="8" t="str"/>
      <x:c r="J207" s="10" t="str"/>
      <x:c r="K207" s="8" t="str">
        <x:f>IF(COUNTIF('Usuarios'!$A$2:$A$61,B207)=1,"OK","ERROR")</x:f>
        <x:v>OK</x:v>
      </x:c>
      <x:c r="L207" s="8" t="str">
        <x:f>IF(COUNTIF('Objetos'!$A$2:$A$181,C207)=1,"OK","ERROR")</x:f>
        <x:v>OK</x:v>
      </x:c>
      <x:c r="M207" s="8" t="str">
        <x:f>IF(COUNTIF('Centros'!$A$2:$A$13,D207)=1,"OK","ERROR")</x:f>
        <x:v>OK</x:v>
      </x:c>
      <x:c r="N207" s="8" t="str">
        <x:f>IF(AND(G207&gt;F207,G207-F207&lt;=INDEX('Objetos'!$J$2:$J$181,MATCH(C207,'Objetos'!$A$2:$A$181,0))),"OK","ERROR")</x:f>
        <x:v>OK</x:v>
      </x:c>
    </x:row>
    <x:row r="208">
      <x:c r="A208" s="8" t="str">
        <x:v>RSV-000207</x:v>
      </x:c>
      <x:c r="B208" s="8" t="str">
        <x:v>USR-0006</x:v>
      </x:c>
      <x:c r="C208" s="8" t="str">
        <x:v>ITM-000028</x:v>
      </x:c>
      <x:c r="D208" s="8" t="str">
        <x:v>HUB-MAD-004</x:v>
      </x:c>
      <x:c r="E208" s="10" t="n">
        <x:v>46288.5</x:v>
      </x:c>
      <x:c r="F208" s="10" t="n">
        <x:v>46294.5</x:v>
      </x:c>
      <x:c r="G208" s="10" t="n">
        <x:v>46297.5</x:v>
      </x:c>
      <x:c r="H208" s="8" t="str">
        <x:v>approved</x:v>
      </x:c>
      <x:c r="I208" s="8" t="str"/>
      <x:c r="J208" s="10" t="str"/>
      <x:c r="K208" s="8" t="str">
        <x:f>IF(COUNTIF('Usuarios'!$A$2:$A$61,B208)=1,"OK","ERROR")</x:f>
        <x:v>OK</x:v>
      </x:c>
      <x:c r="L208" s="8" t="str">
        <x:f>IF(COUNTIF('Objetos'!$A$2:$A$181,C208)=1,"OK","ERROR")</x:f>
        <x:v>OK</x:v>
      </x:c>
      <x:c r="M208" s="8" t="str">
        <x:f>IF(COUNTIF('Centros'!$A$2:$A$13,D208)=1,"OK","ERROR")</x:f>
        <x:v>OK</x:v>
      </x:c>
      <x:c r="N208" s="8" t="str">
        <x:f>IF(AND(G208&gt;F208,G208-F208&lt;=INDEX('Objetos'!$J$2:$J$181,MATCH(C208,'Objetos'!$A$2:$A$181,0))),"OK","ERROR")</x:f>
        <x:v>OK</x:v>
      </x:c>
    </x:row>
    <x:row r="209">
      <x:c r="A209" s="8" t="str">
        <x:v>RSV-000208</x:v>
      </x:c>
      <x:c r="B209" s="8" t="str">
        <x:v>USR-0017</x:v>
      </x:c>
      <x:c r="C209" s="8" t="str">
        <x:v>ITM-000029</x:v>
      </x:c>
      <x:c r="D209" s="8" t="str">
        <x:v>HUB-MAD-005</x:v>
      </x:c>
      <x:c r="E209" s="10" t="n">
        <x:v>46289.5</x:v>
      </x:c>
      <x:c r="F209" s="10" t="n">
        <x:v>46295.5</x:v>
      </x:c>
      <x:c r="G209" s="10" t="n">
        <x:v>46298.5</x:v>
      </x:c>
      <x:c r="H209" s="8" t="str">
        <x:v>approved</x:v>
      </x:c>
      <x:c r="I209" s="8" t="str">
        <x:v>Confirmar que incluye todos los accesorios.</x:v>
      </x:c>
      <x:c r="J209" s="10" t="str"/>
      <x:c r="K209" s="8" t="str">
        <x:f>IF(COUNTIF('Usuarios'!$A$2:$A$61,B209)=1,"OK","ERROR")</x:f>
        <x:v>OK</x:v>
      </x:c>
      <x:c r="L209" s="8" t="str">
        <x:f>IF(COUNTIF('Objetos'!$A$2:$A$181,C209)=1,"OK","ERROR")</x:f>
        <x:v>OK</x:v>
      </x:c>
      <x:c r="M209" s="8" t="str">
        <x:f>IF(COUNTIF('Centros'!$A$2:$A$13,D209)=1,"OK","ERROR")</x:f>
        <x:v>OK</x:v>
      </x:c>
      <x:c r="N209" s="8" t="str">
        <x:f>IF(AND(G209&gt;F209,G209-F209&lt;=INDEX('Objetos'!$J$2:$J$181,MATCH(C209,'Objetos'!$A$2:$A$181,0))),"OK","ERROR")</x:f>
        <x:v>OK</x:v>
      </x:c>
    </x:row>
    <x:row r="210">
      <x:c r="A210" s="8" t="str">
        <x:v>RSV-000209</x:v>
      </x:c>
      <x:c r="B210" s="8" t="str">
        <x:v>USR-0029</x:v>
      </x:c>
      <x:c r="C210" s="8" t="str">
        <x:v>ITM-000031</x:v>
      </x:c>
      <x:c r="D210" s="8" t="str">
        <x:v>HUB-MAD-007</x:v>
      </x:c>
      <x:c r="E210" s="10" t="n">
        <x:v>46290.5</x:v>
      </x:c>
      <x:c r="F210" s="10" t="n">
        <x:v>46296.5</x:v>
      </x:c>
      <x:c r="G210" s="10" t="n">
        <x:v>46299.5</x:v>
      </x:c>
      <x:c r="H210" s="8" t="str">
        <x:v>approved</x:v>
      </x:c>
      <x:c r="I210" s="8" t="str"/>
      <x:c r="J210" s="10" t="str"/>
      <x:c r="K210" s="8" t="str">
        <x:f>IF(COUNTIF('Usuarios'!$A$2:$A$61,B210)=1,"OK","ERROR")</x:f>
        <x:v>OK</x:v>
      </x:c>
      <x:c r="L210" s="8" t="str">
        <x:f>IF(COUNTIF('Objetos'!$A$2:$A$181,C210)=1,"OK","ERROR")</x:f>
        <x:v>OK</x:v>
      </x:c>
      <x:c r="M210" s="8" t="str">
        <x:f>IF(COUNTIF('Centros'!$A$2:$A$13,D210)=1,"OK","ERROR")</x:f>
        <x:v>OK</x:v>
      </x:c>
      <x:c r="N210" s="8" t="str">
        <x:f>IF(AND(G210&gt;F210,G210-F210&lt;=INDEX('Objetos'!$J$2:$J$181,MATCH(C210,'Objetos'!$A$2:$A$181,0))),"OK","ERROR")</x:f>
        <x:v>OK</x:v>
      </x:c>
    </x:row>
    <x:row r="211">
      <x:c r="A211" s="8" t="str">
        <x:v>RSV-000210</x:v>
      </x:c>
      <x:c r="B211" s="8" t="str">
        <x:v>USR-0040</x:v>
      </x:c>
      <x:c r="C211" s="8" t="str">
        <x:v>ITM-000032</x:v>
      </x:c>
      <x:c r="D211" s="8" t="str">
        <x:v>HUB-MAD-008</x:v>
      </x:c>
      <x:c r="E211" s="10" t="n">
        <x:v>46291.5</x:v>
      </x:c>
      <x:c r="F211" s="10" t="n">
        <x:v>46297.5</x:v>
      </x:c>
      <x:c r="G211" s="10" t="n">
        <x:v>46300.5</x:v>
      </x:c>
      <x:c r="H211" s="8" t="str">
        <x:v>approved</x:v>
      </x:c>
      <x:c r="I211" s="8" t="str"/>
      <x:c r="J211" s="10" t="str"/>
      <x:c r="K211" s="8" t="str">
        <x:f>IF(COUNTIF('Usuarios'!$A$2:$A$61,B211)=1,"OK","ERROR")</x:f>
        <x:v>OK</x:v>
      </x:c>
      <x:c r="L211" s="8" t="str">
        <x:f>IF(COUNTIF('Objetos'!$A$2:$A$181,C211)=1,"OK","ERROR")</x:f>
        <x:v>OK</x:v>
      </x:c>
      <x:c r="M211" s="8" t="str">
        <x:f>IF(COUNTIF('Centros'!$A$2:$A$13,D211)=1,"OK","ERROR")</x:f>
        <x:v>OK</x:v>
      </x:c>
      <x:c r="N211" s="8" t="str">
        <x:f>IF(AND(G211&gt;F211,G211-F211&lt;=INDEX('Objetos'!$J$2:$J$181,MATCH(C211,'Objetos'!$A$2:$A$181,0))),"OK","ERROR")</x:f>
        <x:v>OK</x:v>
      </x:c>
    </x:row>
    <x:row r="212">
      <x:c r="A212" s="8" t="str">
        <x:v>RSV-000211</x:v>
      </x:c>
      <x:c r="B212" s="8" t="str">
        <x:v>USR-0052</x:v>
      </x:c>
      <x:c r="C212" s="8" t="str">
        <x:v>ITM-000033</x:v>
      </x:c>
      <x:c r="D212" s="8" t="str">
        <x:v>HUB-MAD-009</x:v>
      </x:c>
      <x:c r="E212" s="10" t="n">
        <x:v>46292.5</x:v>
      </x:c>
      <x:c r="F212" s="10" t="n">
        <x:v>46298.5</x:v>
      </x:c>
      <x:c r="G212" s="10" t="n">
        <x:v>46301.5</x:v>
      </x:c>
      <x:c r="H212" s="8" t="str">
        <x:v>approved</x:v>
      </x:c>
      <x:c r="I212" s="8" t="str">
        <x:v>Confirmar que incluye todos los accesorios.</x:v>
      </x:c>
      <x:c r="J212" s="10" t="str"/>
      <x:c r="K212" s="8" t="str">
        <x:f>IF(COUNTIF('Usuarios'!$A$2:$A$61,B212)=1,"OK","ERROR")</x:f>
        <x:v>OK</x:v>
      </x:c>
      <x:c r="L212" s="8" t="str">
        <x:f>IF(COUNTIF('Objetos'!$A$2:$A$181,C212)=1,"OK","ERROR")</x:f>
        <x:v>OK</x:v>
      </x:c>
      <x:c r="M212" s="8" t="str">
        <x:f>IF(COUNTIF('Centros'!$A$2:$A$13,D212)=1,"OK","ERROR")</x:f>
        <x:v>OK</x:v>
      </x:c>
      <x:c r="N212" s="8" t="str">
        <x:f>IF(AND(G212&gt;F212,G212-F212&lt;=INDEX('Objetos'!$J$2:$J$181,MATCH(C212,'Objetos'!$A$2:$A$181,0))),"OK","ERROR")</x:f>
        <x:v>OK</x:v>
      </x:c>
    </x:row>
    <x:row r="213">
      <x:c r="A213" s="8" t="str">
        <x:v>RSV-000212</x:v>
      </x:c>
      <x:c r="B213" s="8" t="str">
        <x:v>USR-0004</x:v>
      </x:c>
      <x:c r="C213" s="8" t="str">
        <x:v>ITM-000034</x:v>
      </x:c>
      <x:c r="D213" s="8" t="str">
        <x:v>HUB-MAD-010</x:v>
      </x:c>
      <x:c r="E213" s="10" t="n">
        <x:v>46293.5</x:v>
      </x:c>
      <x:c r="F213" s="10" t="n">
        <x:v>46299.5</x:v>
      </x:c>
      <x:c r="G213" s="10" t="n">
        <x:v>46302.5</x:v>
      </x:c>
      <x:c r="H213" s="8" t="str">
        <x:v>approved</x:v>
      </x:c>
      <x:c r="I213" s="8" t="str"/>
      <x:c r="J213" s="10" t="str"/>
      <x:c r="K213" s="8" t="str">
        <x:f>IF(COUNTIF('Usuarios'!$A$2:$A$61,B213)=1,"OK","ERROR")</x:f>
        <x:v>OK</x:v>
      </x:c>
      <x:c r="L213" s="8" t="str">
        <x:f>IF(COUNTIF('Objetos'!$A$2:$A$181,C213)=1,"OK","ERROR")</x:f>
        <x:v>OK</x:v>
      </x:c>
      <x:c r="M213" s="8" t="str">
        <x:f>IF(COUNTIF('Centros'!$A$2:$A$13,D213)=1,"OK","ERROR")</x:f>
        <x:v>OK</x:v>
      </x:c>
      <x:c r="N213" s="8" t="str">
        <x:f>IF(AND(G213&gt;F213,G213-F213&lt;=INDEX('Objetos'!$J$2:$J$181,MATCH(C213,'Objetos'!$A$2:$A$181,0))),"OK","ERROR")</x:f>
        <x:v>OK</x:v>
      </x:c>
    </x:row>
    <x:row r="214">
      <x:c r="A214" s="8" t="str">
        <x:v>RSV-000213</x:v>
      </x:c>
      <x:c r="B214" s="8" t="str">
        <x:v>USR-0015</x:v>
      </x:c>
      <x:c r="C214" s="8" t="str">
        <x:v>ITM-000035</x:v>
      </x:c>
      <x:c r="D214" s="8" t="str">
        <x:v>HUB-MAD-011</x:v>
      </x:c>
      <x:c r="E214" s="10" t="n">
        <x:v>46294.5</x:v>
      </x:c>
      <x:c r="F214" s="10" t="n">
        <x:v>46300.5</x:v>
      </x:c>
      <x:c r="G214" s="10" t="n">
        <x:v>46303.5</x:v>
      </x:c>
      <x:c r="H214" s="8" t="str">
        <x:v>approved</x:v>
      </x:c>
      <x:c r="I214" s="8" t="str"/>
      <x:c r="J214" s="10" t="str"/>
      <x:c r="K214" s="8" t="str">
        <x:f>IF(COUNTIF('Usuarios'!$A$2:$A$61,B214)=1,"OK","ERROR")</x:f>
        <x:v>OK</x:v>
      </x:c>
      <x:c r="L214" s="8" t="str">
        <x:f>IF(COUNTIF('Objetos'!$A$2:$A$181,C214)=1,"OK","ERROR")</x:f>
        <x:v>OK</x:v>
      </x:c>
      <x:c r="M214" s="8" t="str">
        <x:f>IF(COUNTIF('Centros'!$A$2:$A$13,D214)=1,"OK","ERROR")</x:f>
        <x:v>OK</x:v>
      </x:c>
      <x:c r="N214" s="8" t="str">
        <x:f>IF(AND(G214&gt;F214,G214-F214&lt;=INDEX('Objetos'!$J$2:$J$181,MATCH(C214,'Objetos'!$A$2:$A$181,0))),"OK","ERROR")</x:f>
        <x:v>OK</x:v>
      </x:c>
    </x:row>
    <x:row r="215">
      <x:c r="A215" s="8" t="str">
        <x:v>RSV-000214</x:v>
      </x:c>
      <x:c r="B215" s="8" t="str">
        <x:v>USR-0027</x:v>
      </x:c>
      <x:c r="C215" s="8" t="str">
        <x:v>ITM-000036</x:v>
      </x:c>
      <x:c r="D215" s="8" t="str">
        <x:v>HUB-MAD-012</x:v>
      </x:c>
      <x:c r="E215" s="10" t="n">
        <x:v>46295.5</x:v>
      </x:c>
      <x:c r="F215" s="10" t="n">
        <x:v>46301.5</x:v>
      </x:c>
      <x:c r="G215" s="10" t="n">
        <x:v>46304.5</x:v>
      </x:c>
      <x:c r="H215" s="8" t="str">
        <x:v>approved</x:v>
      </x:c>
      <x:c r="I215" s="8" t="str">
        <x:v>Confirmar que incluye todos los accesorios.</x:v>
      </x:c>
      <x:c r="J215" s="10" t="str"/>
      <x:c r="K215" s="8" t="str">
        <x:f>IF(COUNTIF('Usuarios'!$A$2:$A$61,B215)=1,"OK","ERROR")</x:f>
        <x:v>OK</x:v>
      </x:c>
      <x:c r="L215" s="8" t="str">
        <x:f>IF(COUNTIF('Objetos'!$A$2:$A$181,C215)=1,"OK","ERROR")</x:f>
        <x:v>OK</x:v>
      </x:c>
      <x:c r="M215" s="8" t="str">
        <x:f>IF(COUNTIF('Centros'!$A$2:$A$13,D215)=1,"OK","ERROR")</x:f>
        <x:v>OK</x:v>
      </x:c>
      <x:c r="N215" s="8" t="str">
        <x:f>IF(AND(G215&gt;F215,G215-F215&lt;=INDEX('Objetos'!$J$2:$J$181,MATCH(C215,'Objetos'!$A$2:$A$181,0))),"OK","ERROR")</x:f>
        <x:v>OK</x:v>
      </x:c>
    </x:row>
    <x:row r="216">
      <x:c r="A216" s="8" t="str">
        <x:v>RSV-000215</x:v>
      </x:c>
      <x:c r="B216" s="8" t="str">
        <x:v>USR-0038</x:v>
      </x:c>
      <x:c r="C216" s="8" t="str">
        <x:v>ITM-000037</x:v>
      </x:c>
      <x:c r="D216" s="8" t="str">
        <x:v>HUB-MAD-001</x:v>
      </x:c>
      <x:c r="E216" s="10" t="n">
        <x:v>46296.5</x:v>
      </x:c>
      <x:c r="F216" s="10" t="n">
        <x:v>46302.5</x:v>
      </x:c>
      <x:c r="G216" s="10" t="n">
        <x:v>46305.5</x:v>
      </x:c>
      <x:c r="H216" s="8" t="str">
        <x:v>approved</x:v>
      </x:c>
      <x:c r="I216" s="8" t="str"/>
      <x:c r="J216" s="10" t="str"/>
      <x:c r="K216" s="8" t="str">
        <x:f>IF(COUNTIF('Usuarios'!$A$2:$A$61,B216)=1,"OK","ERROR")</x:f>
        <x:v>OK</x:v>
      </x:c>
      <x:c r="L216" s="8" t="str">
        <x:f>IF(COUNTIF('Objetos'!$A$2:$A$181,C216)=1,"OK","ERROR")</x:f>
        <x:v>OK</x:v>
      </x:c>
      <x:c r="M216" s="8" t="str">
        <x:f>IF(COUNTIF('Centros'!$A$2:$A$13,D216)=1,"OK","ERROR")</x:f>
        <x:v>OK</x:v>
      </x:c>
      <x:c r="N216" s="8" t="str">
        <x:f>IF(AND(G216&gt;F216,G216-F216&lt;=INDEX('Objetos'!$J$2:$J$181,MATCH(C216,'Objetos'!$A$2:$A$181,0))),"OK","ERROR")</x:f>
        <x:v>OK</x:v>
      </x:c>
    </x:row>
    <x:row r="217">
      <x:c r="A217" s="8" t="str">
        <x:v>RSV-000216</x:v>
      </x:c>
      <x:c r="B217" s="8" t="str">
        <x:v>USR-0050</x:v>
      </x:c>
      <x:c r="C217" s="8" t="str">
        <x:v>ITM-000038</x:v>
      </x:c>
      <x:c r="D217" s="8" t="str">
        <x:v>HUB-MAD-002</x:v>
      </x:c>
      <x:c r="E217" s="10" t="n">
        <x:v>46299.5</x:v>
      </x:c>
      <x:c r="F217" s="10" t="n">
        <x:v>46305.5</x:v>
      </x:c>
      <x:c r="G217" s="10" t="n">
        <x:v>46308.5</x:v>
      </x:c>
      <x:c r="H217" s="8" t="str">
        <x:v>requested</x:v>
      </x:c>
      <x:c r="I217" s="8" t="str"/>
      <x:c r="J217" s="10" t="str"/>
      <x:c r="K217" s="8" t="str">
        <x:f>IF(COUNTIF('Usuarios'!$A$2:$A$61,B217)=1,"OK","ERROR")</x:f>
        <x:v>OK</x:v>
      </x:c>
      <x:c r="L217" s="8" t="str">
        <x:f>IF(COUNTIF('Objetos'!$A$2:$A$181,C217)=1,"OK","ERROR")</x:f>
        <x:v>OK</x:v>
      </x:c>
      <x:c r="M217" s="8" t="str">
        <x:f>IF(COUNTIF('Centros'!$A$2:$A$13,D217)=1,"OK","ERROR")</x:f>
        <x:v>OK</x:v>
      </x:c>
      <x:c r="N217" s="8" t="str">
        <x:f>IF(AND(G217&gt;F217,G217-F217&lt;=INDEX('Objetos'!$J$2:$J$181,MATCH(C217,'Objetos'!$A$2:$A$181,0))),"OK","ERROR")</x:f>
        <x:v>OK</x:v>
      </x:c>
    </x:row>
    <x:row r="218">
      <x:c r="A218" s="8" t="str">
        <x:v>RSV-000217</x:v>
      </x:c>
      <x:c r="B218" s="8" t="str">
        <x:v>USR-0002</x:v>
      </x:c>
      <x:c r="C218" s="8" t="str">
        <x:v>ITM-000039</x:v>
      </x:c>
      <x:c r="D218" s="8" t="str">
        <x:v>HUB-MAD-003</x:v>
      </x:c>
      <x:c r="E218" s="10" t="n">
        <x:v>46300.5</x:v>
      </x:c>
      <x:c r="F218" s="10" t="n">
        <x:v>46306.5</x:v>
      </x:c>
      <x:c r="G218" s="10" t="n">
        <x:v>46309.5</x:v>
      </x:c>
      <x:c r="H218" s="8" t="str">
        <x:v>requested</x:v>
      </x:c>
      <x:c r="I218" s="8" t="str">
        <x:v>Confirmar que incluye todos los accesorios.</x:v>
      </x:c>
      <x:c r="J218" s="10" t="str"/>
      <x:c r="K218" s="8" t="str">
        <x:f>IF(COUNTIF('Usuarios'!$A$2:$A$61,B218)=1,"OK","ERROR")</x:f>
        <x:v>OK</x:v>
      </x:c>
      <x:c r="L218" s="8" t="str">
        <x:f>IF(COUNTIF('Objetos'!$A$2:$A$181,C218)=1,"OK","ERROR")</x:f>
        <x:v>OK</x:v>
      </x:c>
      <x:c r="M218" s="8" t="str">
        <x:f>IF(COUNTIF('Centros'!$A$2:$A$13,D218)=1,"OK","ERROR")</x:f>
        <x:v>OK</x:v>
      </x:c>
      <x:c r="N218" s="8" t="str">
        <x:f>IF(AND(G218&gt;F218,G218-F218&lt;=INDEX('Objetos'!$J$2:$J$181,MATCH(C218,'Objetos'!$A$2:$A$181,0))),"OK","ERROR")</x:f>
        <x:v>OK</x:v>
      </x:c>
    </x:row>
    <x:row r="219">
      <x:c r="A219" s="8" t="str">
        <x:v>RSV-000218</x:v>
      </x:c>
      <x:c r="B219" s="8" t="str">
        <x:v>USR-0013</x:v>
      </x:c>
      <x:c r="C219" s="8" t="str">
        <x:v>ITM-000040</x:v>
      </x:c>
      <x:c r="D219" s="8" t="str">
        <x:v>HUB-MAD-004</x:v>
      </x:c>
      <x:c r="E219" s="10" t="n">
        <x:v>46301.5</x:v>
      </x:c>
      <x:c r="F219" s="10" t="n">
        <x:v>46307.5</x:v>
      </x:c>
      <x:c r="G219" s="10" t="n">
        <x:v>46310.5</x:v>
      </x:c>
      <x:c r="H219" s="8" t="str">
        <x:v>requested</x:v>
      </x:c>
      <x:c r="I219" s="8" t="str"/>
      <x:c r="J219" s="10" t="str"/>
      <x:c r="K219" s="8" t="str">
        <x:f>IF(COUNTIF('Usuarios'!$A$2:$A$61,B219)=1,"OK","ERROR")</x:f>
        <x:v>OK</x:v>
      </x:c>
      <x:c r="L219" s="8" t="str">
        <x:f>IF(COUNTIF('Objetos'!$A$2:$A$181,C219)=1,"OK","ERROR")</x:f>
        <x:v>OK</x:v>
      </x:c>
      <x:c r="M219" s="8" t="str">
        <x:f>IF(COUNTIF('Centros'!$A$2:$A$13,D219)=1,"OK","ERROR")</x:f>
        <x:v>OK</x:v>
      </x:c>
      <x:c r="N219" s="8" t="str">
        <x:f>IF(AND(G219&gt;F219,G219-F219&lt;=INDEX('Objetos'!$J$2:$J$181,MATCH(C219,'Objetos'!$A$2:$A$181,0))),"OK","ERROR")</x:f>
        <x:v>OK</x:v>
      </x:c>
    </x:row>
    <x:row r="220">
      <x:c r="A220" s="8" t="str">
        <x:v>RSV-000219</x:v>
      </x:c>
      <x:c r="B220" s="8" t="str">
        <x:v>USR-0025</x:v>
      </x:c>
      <x:c r="C220" s="8" t="str">
        <x:v>ITM-000041</x:v>
      </x:c>
      <x:c r="D220" s="8" t="str">
        <x:v>HUB-MAD-005</x:v>
      </x:c>
      <x:c r="E220" s="10" t="n">
        <x:v>46302.5</x:v>
      </x:c>
      <x:c r="F220" s="10" t="n">
        <x:v>46308.5</x:v>
      </x:c>
      <x:c r="G220" s="10" t="n">
        <x:v>46311.5</x:v>
      </x:c>
      <x:c r="H220" s="8" t="str">
        <x:v>requested</x:v>
      </x:c>
      <x:c r="I220" s="8" t="str"/>
      <x:c r="J220" s="10" t="str"/>
      <x:c r="K220" s="8" t="str">
        <x:f>IF(COUNTIF('Usuarios'!$A$2:$A$61,B220)=1,"OK","ERROR")</x:f>
        <x:v>OK</x:v>
      </x:c>
      <x:c r="L220" s="8" t="str">
        <x:f>IF(COUNTIF('Objetos'!$A$2:$A$181,C220)=1,"OK","ERROR")</x:f>
        <x:v>OK</x:v>
      </x:c>
      <x:c r="M220" s="8" t="str">
        <x:f>IF(COUNTIF('Centros'!$A$2:$A$13,D220)=1,"OK","ERROR")</x:f>
        <x:v>OK</x:v>
      </x:c>
      <x:c r="N220" s="8" t="str">
        <x:f>IF(AND(G220&gt;F220,G220-F220&lt;=INDEX('Objetos'!$J$2:$J$181,MATCH(C220,'Objetos'!$A$2:$A$181,0))),"OK","ERROR")</x:f>
        <x:v>OK</x:v>
      </x:c>
    </x:row>
    <x:row r="221">
      <x:c r="A221" s="8" t="str">
        <x:v>RSV-000220</x:v>
      </x:c>
      <x:c r="B221" s="8" t="str">
        <x:v>USR-0036</x:v>
      </x:c>
      <x:c r="C221" s="8" t="str">
        <x:v>ITM-000042</x:v>
      </x:c>
      <x:c r="D221" s="8" t="str">
        <x:v>HUB-MAD-006</x:v>
      </x:c>
      <x:c r="E221" s="10" t="n">
        <x:v>46303.5</x:v>
      </x:c>
      <x:c r="F221" s="10" t="n">
        <x:v>46309.5</x:v>
      </x:c>
      <x:c r="G221" s="10" t="n">
        <x:v>46312.5</x:v>
      </x:c>
      <x:c r="H221" s="8" t="str">
        <x:v>requested</x:v>
      </x:c>
      <x:c r="I221" s="8" t="str">
        <x:v>Confirmar que incluye todos los accesorios.</x:v>
      </x:c>
      <x:c r="J221" s="10" t="str"/>
      <x:c r="K221" s="8" t="str">
        <x:f>IF(COUNTIF('Usuarios'!$A$2:$A$61,B221)=1,"OK","ERROR")</x:f>
        <x:v>OK</x:v>
      </x:c>
      <x:c r="L221" s="8" t="str">
        <x:f>IF(COUNTIF('Objetos'!$A$2:$A$181,C221)=1,"OK","ERROR")</x:f>
        <x:v>OK</x:v>
      </x:c>
      <x:c r="M221" s="8" t="str">
        <x:f>IF(COUNTIF('Centros'!$A$2:$A$13,D221)=1,"OK","ERROR")</x:f>
        <x:v>OK</x:v>
      </x:c>
      <x:c r="N221" s="8" t="str">
        <x:f>IF(AND(G221&gt;F221,G221-F221&lt;=INDEX('Objetos'!$J$2:$J$181,MATCH(C221,'Objetos'!$A$2:$A$181,0))),"OK","ERROR")</x:f>
        <x:v>OK</x:v>
      </x:c>
    </x:row>
    <x:row r="222">
      <x:c r="A222" s="8" t="str">
        <x:v>RSV-000221</x:v>
      </x:c>
      <x:c r="B222" s="8" t="str">
        <x:v>USR-0048</x:v>
      </x:c>
      <x:c r="C222" s="8" t="str">
        <x:v>ITM-000043</x:v>
      </x:c>
      <x:c r="D222" s="8" t="str">
        <x:v>HUB-MAD-007</x:v>
      </x:c>
      <x:c r="E222" s="10" t="n">
        <x:v>46304.5</x:v>
      </x:c>
      <x:c r="F222" s="10" t="n">
        <x:v>46310.5</x:v>
      </x:c>
      <x:c r="G222" s="10" t="n">
        <x:v>46313.5</x:v>
      </x:c>
      <x:c r="H222" s="8" t="str">
        <x:v>requested</x:v>
      </x:c>
      <x:c r="I222" s="8" t="str"/>
      <x:c r="J222" s="10" t="str"/>
      <x:c r="K222" s="8" t="str">
        <x:f>IF(COUNTIF('Usuarios'!$A$2:$A$61,B222)=1,"OK","ERROR")</x:f>
        <x:v>OK</x:v>
      </x:c>
      <x:c r="L222" s="8" t="str">
        <x:f>IF(COUNTIF('Objetos'!$A$2:$A$181,C222)=1,"OK","ERROR")</x:f>
        <x:v>OK</x:v>
      </x:c>
      <x:c r="M222" s="8" t="str">
        <x:f>IF(COUNTIF('Centros'!$A$2:$A$13,D222)=1,"OK","ERROR")</x:f>
        <x:v>OK</x:v>
      </x:c>
      <x:c r="N222" s="8" t="str">
        <x:f>IF(AND(G222&gt;F222,G222-F222&lt;=INDEX('Objetos'!$J$2:$J$181,MATCH(C222,'Objetos'!$A$2:$A$181,0))),"OK","ERROR")</x:f>
        <x:v>OK</x:v>
      </x:c>
    </x:row>
    <x:row r="223">
      <x:c r="A223" s="8" t="str">
        <x:v>RSV-000222</x:v>
      </x:c>
      <x:c r="B223" s="8" t="str">
        <x:v>USR-0059</x:v>
      </x:c>
      <x:c r="C223" s="8" t="str">
        <x:v>ITM-000044</x:v>
      </x:c>
      <x:c r="D223" s="8" t="str">
        <x:v>HUB-MAD-008</x:v>
      </x:c>
      <x:c r="E223" s="10" t="n">
        <x:v>46305.5</x:v>
      </x:c>
      <x:c r="F223" s="10" t="n">
        <x:v>46311.5</x:v>
      </x:c>
      <x:c r="G223" s="10" t="n">
        <x:v>46314.5</x:v>
      </x:c>
      <x:c r="H223" s="8" t="str">
        <x:v>requested</x:v>
      </x:c>
      <x:c r="I223" s="8" t="str"/>
      <x:c r="J223" s="10" t="str"/>
      <x:c r="K223" s="8" t="str">
        <x:f>IF(COUNTIF('Usuarios'!$A$2:$A$61,B223)=1,"OK","ERROR")</x:f>
        <x:v>OK</x:v>
      </x:c>
      <x:c r="L223" s="8" t="str">
        <x:f>IF(COUNTIF('Objetos'!$A$2:$A$181,C223)=1,"OK","ERROR")</x:f>
        <x:v>OK</x:v>
      </x:c>
      <x:c r="M223" s="8" t="str">
        <x:f>IF(COUNTIF('Centros'!$A$2:$A$13,D223)=1,"OK","ERROR")</x:f>
        <x:v>OK</x:v>
      </x:c>
      <x:c r="N223" s="8" t="str">
        <x:f>IF(AND(G223&gt;F223,G223-F223&lt;=INDEX('Objetos'!$J$2:$J$181,MATCH(C223,'Objetos'!$A$2:$A$181,0))),"OK","ERROR")</x:f>
        <x:v>OK</x:v>
      </x:c>
    </x:row>
    <x:row r="224">
      <x:c r="A224" s="8" t="str">
        <x:v>RSV-000223</x:v>
      </x:c>
      <x:c r="B224" s="8" t="str">
        <x:v>USR-0011</x:v>
      </x:c>
      <x:c r="C224" s="8" t="str">
        <x:v>ITM-000045</x:v>
      </x:c>
      <x:c r="D224" s="8" t="str">
        <x:v>HUB-MAD-009</x:v>
      </x:c>
      <x:c r="E224" s="10" t="n">
        <x:v>46306.5</x:v>
      </x:c>
      <x:c r="F224" s="10" t="n">
        <x:v>46312.5</x:v>
      </x:c>
      <x:c r="G224" s="10" t="n">
        <x:v>46315.5</x:v>
      </x:c>
      <x:c r="H224" s="8" t="str">
        <x:v>requested</x:v>
      </x:c>
      <x:c r="I224" s="8" t="str">
        <x:v>Confirmar que incluye todos los accesorios.</x:v>
      </x:c>
      <x:c r="J224" s="10" t="str"/>
      <x:c r="K224" s="8" t="str">
        <x:f>IF(COUNTIF('Usuarios'!$A$2:$A$61,B224)=1,"OK","ERROR")</x:f>
        <x:v>OK</x:v>
      </x:c>
      <x:c r="L224" s="8" t="str">
        <x:f>IF(COUNTIF('Objetos'!$A$2:$A$181,C224)=1,"OK","ERROR")</x:f>
        <x:v>OK</x:v>
      </x:c>
      <x:c r="M224" s="8" t="str">
        <x:f>IF(COUNTIF('Centros'!$A$2:$A$13,D224)=1,"OK","ERROR")</x:f>
        <x:v>OK</x:v>
      </x:c>
      <x:c r="N224" s="8" t="str">
        <x:f>IF(AND(G224&gt;F224,G224-F224&lt;=INDEX('Objetos'!$J$2:$J$181,MATCH(C224,'Objetos'!$A$2:$A$181,0))),"OK","ERROR")</x:f>
        <x:v>OK</x:v>
      </x:c>
    </x:row>
    <x:row r="225">
      <x:c r="A225" s="8" t="str">
        <x:v>RSV-000224</x:v>
      </x:c>
      <x:c r="B225" s="8" t="str">
        <x:v>USR-0022</x:v>
      </x:c>
      <x:c r="C225" s="8" t="str">
        <x:v>ITM-000046</x:v>
      </x:c>
      <x:c r="D225" s="8" t="str">
        <x:v>HUB-MAD-010</x:v>
      </x:c>
      <x:c r="E225" s="10" t="n">
        <x:v>46307.5</x:v>
      </x:c>
      <x:c r="F225" s="10" t="n">
        <x:v>46313.5</x:v>
      </x:c>
      <x:c r="G225" s="10" t="n">
        <x:v>46316.5</x:v>
      </x:c>
      <x:c r="H225" s="8" t="str">
        <x:v>requested</x:v>
      </x:c>
      <x:c r="I225" s="8" t="str"/>
      <x:c r="J225" s="10" t="str"/>
      <x:c r="K225" s="8" t="str">
        <x:f>IF(COUNTIF('Usuarios'!$A$2:$A$61,B225)=1,"OK","ERROR")</x:f>
        <x:v>OK</x:v>
      </x:c>
      <x:c r="L225" s="8" t="str">
        <x:f>IF(COUNTIF('Objetos'!$A$2:$A$181,C225)=1,"OK","ERROR")</x:f>
        <x:v>OK</x:v>
      </x:c>
      <x:c r="M225" s="8" t="str">
        <x:f>IF(COUNTIF('Centros'!$A$2:$A$13,D225)=1,"OK","ERROR")</x:f>
        <x:v>OK</x:v>
      </x:c>
      <x:c r="N225" s="8" t="str">
        <x:f>IF(AND(G225&gt;F225,G225-F225&lt;=INDEX('Objetos'!$J$2:$J$181,MATCH(C225,'Objetos'!$A$2:$A$181,0))),"OK","ERROR")</x:f>
        <x:v>OK</x:v>
      </x:c>
    </x:row>
    <x:row r="226">
      <x:c r="A226" s="8" t="str">
        <x:v>RSV-000225</x:v>
      </x:c>
      <x:c r="B226" s="8" t="str">
        <x:v>USR-0034</x:v>
      </x:c>
      <x:c r="C226" s="8" t="str">
        <x:v>ITM-000047</x:v>
      </x:c>
      <x:c r="D226" s="8" t="str">
        <x:v>HUB-MAD-011</x:v>
      </x:c>
      <x:c r="E226" s="10" t="n">
        <x:v>46308.5</x:v>
      </x:c>
      <x:c r="F226" s="10" t="n">
        <x:v>46314.5</x:v>
      </x:c>
      <x:c r="G226" s="10" t="n">
        <x:v>46317.5</x:v>
      </x:c>
      <x:c r="H226" s="8" t="str">
        <x:v>requested</x:v>
      </x:c>
      <x:c r="I226" s="8" t="str"/>
      <x:c r="J226" s="10" t="str"/>
      <x:c r="K226" s="8" t="str">
        <x:f>IF(COUNTIF('Usuarios'!$A$2:$A$61,B226)=1,"OK","ERROR")</x:f>
        <x:v>OK</x:v>
      </x:c>
      <x:c r="L226" s="8" t="str">
        <x:f>IF(COUNTIF('Objetos'!$A$2:$A$181,C226)=1,"OK","ERROR")</x:f>
        <x:v>OK</x:v>
      </x:c>
      <x:c r="M226" s="8" t="str">
        <x:f>IF(COUNTIF('Centros'!$A$2:$A$13,D226)=1,"OK","ERROR")</x:f>
        <x:v>OK</x:v>
      </x:c>
      <x:c r="N226" s="8" t="str">
        <x:f>IF(AND(G226&gt;F226,G226-F226&lt;=INDEX('Objetos'!$J$2:$J$181,MATCH(C226,'Objetos'!$A$2:$A$181,0))),"OK","ERROR")</x:f>
        <x:v>OK</x:v>
      </x:c>
    </x:row>
    <x:row r="227">
      <x:c r="A227" s="8" t="str">
        <x:v>RSV-000226</x:v>
      </x:c>
      <x:c r="B227" s="8" t="str">
        <x:v>USR-0045</x:v>
      </x:c>
      <x:c r="C227" s="8" t="str">
        <x:v>ITM-000049</x:v>
      </x:c>
      <x:c r="D227" s="8" t="str">
        <x:v>HUB-MAD-001</x:v>
      </x:c>
      <x:c r="E227" s="10" t="n">
        <x:v>46309.5</x:v>
      </x:c>
      <x:c r="F227" s="10" t="n">
        <x:v>46315.5</x:v>
      </x:c>
      <x:c r="G227" s="10" t="n">
        <x:v>46318.5</x:v>
      </x:c>
      <x:c r="H227" s="8" t="str">
        <x:v>requested</x:v>
      </x:c>
      <x:c r="I227" s="8" t="str">
        <x:v>Confirmar que incluye todos los accesorios.</x:v>
      </x:c>
      <x:c r="J227" s="10" t="str"/>
      <x:c r="K227" s="8" t="str">
        <x:f>IF(COUNTIF('Usuarios'!$A$2:$A$61,B227)=1,"OK","ERROR")</x:f>
        <x:v>OK</x:v>
      </x:c>
      <x:c r="L227" s="8" t="str">
        <x:f>IF(COUNTIF('Objetos'!$A$2:$A$181,C227)=1,"OK","ERROR")</x:f>
        <x:v>OK</x:v>
      </x:c>
      <x:c r="M227" s="8" t="str">
        <x:f>IF(COUNTIF('Centros'!$A$2:$A$13,D227)=1,"OK","ERROR")</x:f>
        <x:v>OK</x:v>
      </x:c>
      <x:c r="N227" s="8" t="str">
        <x:f>IF(AND(G227&gt;F227,G227-F227&lt;=INDEX('Objetos'!$J$2:$J$181,MATCH(C227,'Objetos'!$A$2:$A$181,0))),"OK","ERROR")</x:f>
        <x:v>OK</x:v>
      </x:c>
    </x:row>
    <x:row r="228">
      <x:c r="A228" s="8" t="str">
        <x:v>RSV-000227</x:v>
      </x:c>
      <x:c r="B228" s="8" t="str">
        <x:v>USR-0057</x:v>
      </x:c>
      <x:c r="C228" s="8" t="str">
        <x:v>ITM-000050</x:v>
      </x:c>
      <x:c r="D228" s="8" t="str">
        <x:v>HUB-MAD-002</x:v>
      </x:c>
      <x:c r="E228" s="10" t="n">
        <x:v>46310.5</x:v>
      </x:c>
      <x:c r="F228" s="10" t="n">
        <x:v>46316.5</x:v>
      </x:c>
      <x:c r="G228" s="10" t="n">
        <x:v>46319.5</x:v>
      </x:c>
      <x:c r="H228" s="8" t="str">
        <x:v>requested</x:v>
      </x:c>
      <x:c r="I228" s="8" t="str"/>
      <x:c r="J228" s="10" t="str"/>
      <x:c r="K228" s="8" t="str">
        <x:f>IF(COUNTIF('Usuarios'!$A$2:$A$61,B228)=1,"OK","ERROR")</x:f>
        <x:v>OK</x:v>
      </x:c>
      <x:c r="L228" s="8" t="str">
        <x:f>IF(COUNTIF('Objetos'!$A$2:$A$181,C228)=1,"OK","ERROR")</x:f>
        <x:v>OK</x:v>
      </x:c>
      <x:c r="M228" s="8" t="str">
        <x:f>IF(COUNTIF('Centros'!$A$2:$A$13,D228)=1,"OK","ERROR")</x:f>
        <x:v>OK</x:v>
      </x:c>
      <x:c r="N228" s="8" t="str">
        <x:f>IF(AND(G228&gt;F228,G228-F228&lt;=INDEX('Objetos'!$J$2:$J$181,MATCH(C228,'Objetos'!$A$2:$A$181,0))),"OK","ERROR")</x:f>
        <x:v>OK</x:v>
      </x:c>
    </x:row>
    <x:row r="229">
      <x:c r="A229" s="8" t="str">
        <x:v>RSV-000228</x:v>
      </x:c>
      <x:c r="B229" s="8" t="str">
        <x:v>USR-0009</x:v>
      </x:c>
      <x:c r="C229" s="8" t="str">
        <x:v>ITM-000051</x:v>
      </x:c>
      <x:c r="D229" s="8" t="str">
        <x:v>HUB-MAD-003</x:v>
      </x:c>
      <x:c r="E229" s="10" t="n">
        <x:v>46311.5</x:v>
      </x:c>
      <x:c r="F229" s="10" t="n">
        <x:v>46317.5</x:v>
      </x:c>
      <x:c r="G229" s="10" t="n">
        <x:v>46320.5</x:v>
      </x:c>
      <x:c r="H229" s="8" t="str">
        <x:v>requested</x:v>
      </x:c>
      <x:c r="I229" s="8" t="str"/>
      <x:c r="J229" s="10" t="str"/>
      <x:c r="K229" s="8" t="str">
        <x:f>IF(COUNTIF('Usuarios'!$A$2:$A$61,B229)=1,"OK","ERROR")</x:f>
        <x:v>OK</x:v>
      </x:c>
      <x:c r="L229" s="8" t="str">
        <x:f>IF(COUNTIF('Objetos'!$A$2:$A$181,C229)=1,"OK","ERROR")</x:f>
        <x:v>OK</x:v>
      </x:c>
      <x:c r="M229" s="8" t="str">
        <x:f>IF(COUNTIF('Centros'!$A$2:$A$13,D229)=1,"OK","ERROR")</x:f>
        <x:v>OK</x:v>
      </x:c>
      <x:c r="N229" s="8" t="str">
        <x:f>IF(AND(G229&gt;F229,G229-F229&lt;=INDEX('Objetos'!$J$2:$J$181,MATCH(C229,'Objetos'!$A$2:$A$181,0))),"OK","ERROR")</x:f>
        <x:v>OK</x:v>
      </x:c>
    </x:row>
    <x:row r="230">
      <x:c r="A230" s="8" t="str">
        <x:v>RSV-000229</x:v>
      </x:c>
      <x:c r="B230" s="8" t="str">
        <x:v>USR-0020</x:v>
      </x:c>
      <x:c r="C230" s="8" t="str">
        <x:v>ITM-000052</x:v>
      </x:c>
      <x:c r="D230" s="8" t="str">
        <x:v>HUB-MAD-004</x:v>
      </x:c>
      <x:c r="E230" s="10" t="n">
        <x:v>46312.5</x:v>
      </x:c>
      <x:c r="F230" s="10" t="n">
        <x:v>46318.5</x:v>
      </x:c>
      <x:c r="G230" s="10" t="n">
        <x:v>46321.5</x:v>
      </x:c>
      <x:c r="H230" s="8" t="str">
        <x:v>requested</x:v>
      </x:c>
      <x:c r="I230" s="8" t="str">
        <x:v>Confirmar que incluye todos los accesorios.</x:v>
      </x:c>
      <x:c r="J230" s="10" t="str"/>
      <x:c r="K230" s="8" t="str">
        <x:f>IF(COUNTIF('Usuarios'!$A$2:$A$61,B230)=1,"OK","ERROR")</x:f>
        <x:v>OK</x:v>
      </x:c>
      <x:c r="L230" s="8" t="str">
        <x:f>IF(COUNTIF('Objetos'!$A$2:$A$181,C230)=1,"OK","ERROR")</x:f>
        <x:v>OK</x:v>
      </x:c>
      <x:c r="M230" s="8" t="str">
        <x:f>IF(COUNTIF('Centros'!$A$2:$A$13,D230)=1,"OK","ERROR")</x:f>
        <x:v>OK</x:v>
      </x:c>
      <x:c r="N230" s="8" t="str">
        <x:f>IF(AND(G230&gt;F230,G230-F230&lt;=INDEX('Objetos'!$J$2:$J$181,MATCH(C230,'Objetos'!$A$2:$A$181,0))),"OK","ERROR")</x:f>
        <x:v>OK</x:v>
      </x:c>
    </x:row>
    <x:row r="231">
      <x:c r="A231" s="8" t="str">
        <x:v>RSV-000230</x:v>
      </x:c>
      <x:c r="B231" s="8" t="str">
        <x:v>USR-0032</x:v>
      </x:c>
      <x:c r="C231" s="8" t="str">
        <x:v>ITM-000053</x:v>
      </x:c>
      <x:c r="D231" s="8" t="str">
        <x:v>HUB-MAD-005</x:v>
      </x:c>
      <x:c r="E231" s="10" t="n">
        <x:v>46313.5</x:v>
      </x:c>
      <x:c r="F231" s="10" t="n">
        <x:v>46319.5</x:v>
      </x:c>
      <x:c r="G231" s="10" t="n">
        <x:v>46322.5</x:v>
      </x:c>
      <x:c r="H231" s="8" t="str">
        <x:v>requested</x:v>
      </x:c>
      <x:c r="I231" s="8" t="str"/>
      <x:c r="J231" s="10" t="str"/>
      <x:c r="K231" s="8" t="str">
        <x:f>IF(COUNTIF('Usuarios'!$A$2:$A$61,B231)=1,"OK","ERROR")</x:f>
        <x:v>OK</x:v>
      </x:c>
      <x:c r="L231" s="8" t="str">
        <x:f>IF(COUNTIF('Objetos'!$A$2:$A$181,C231)=1,"OK","ERROR")</x:f>
        <x:v>OK</x:v>
      </x:c>
      <x:c r="M231" s="8" t="str">
        <x:f>IF(COUNTIF('Centros'!$A$2:$A$13,D231)=1,"OK","ERROR")</x:f>
        <x:v>OK</x:v>
      </x:c>
      <x:c r="N231" s="8" t="str">
        <x:f>IF(AND(G231&gt;F231,G231-F231&lt;=INDEX('Objetos'!$J$2:$J$181,MATCH(C231,'Objetos'!$A$2:$A$181,0))),"OK","ERROR")</x:f>
        <x:v>OK</x:v>
      </x:c>
    </x:row>
    <x:row r="232">
      <x:c r="A232" s="8" t="str">
        <x:v>RSV-000231</x:v>
      </x:c>
      <x:c r="B232" s="8" t="str">
        <x:v>USR-0043</x:v>
      </x:c>
      <x:c r="C232" s="8" t="str">
        <x:v>ITM-000054</x:v>
      </x:c>
      <x:c r="D232" s="8" t="str">
        <x:v>HUB-MAD-006</x:v>
      </x:c>
      <x:c r="E232" s="10" t="n">
        <x:v>46314.5</x:v>
      </x:c>
      <x:c r="F232" s="10" t="n">
        <x:v>46320.5</x:v>
      </x:c>
      <x:c r="G232" s="10" t="n">
        <x:v>46323.5</x:v>
      </x:c>
      <x:c r="H232" s="8" t="str">
        <x:v>requested</x:v>
      </x:c>
      <x:c r="I232" s="8" t="str"/>
      <x:c r="J232" s="10" t="str"/>
      <x:c r="K232" s="8" t="str">
        <x:f>IF(COUNTIF('Usuarios'!$A$2:$A$61,B232)=1,"OK","ERROR")</x:f>
        <x:v>OK</x:v>
      </x:c>
      <x:c r="L232" s="8" t="str">
        <x:f>IF(COUNTIF('Objetos'!$A$2:$A$181,C232)=1,"OK","ERROR")</x:f>
        <x:v>OK</x:v>
      </x:c>
      <x:c r="M232" s="8" t="str">
        <x:f>IF(COUNTIF('Centros'!$A$2:$A$13,D232)=1,"OK","ERROR")</x:f>
        <x:v>OK</x:v>
      </x:c>
      <x:c r="N232" s="8" t="str">
        <x:f>IF(AND(G232&gt;F232,G232-F232&lt;=INDEX('Objetos'!$J$2:$J$181,MATCH(C232,'Objetos'!$A$2:$A$181,0))),"OK","ERROR")</x:f>
        <x:v>OK</x:v>
      </x:c>
    </x:row>
    <x:row r="233">
      <x:c r="A233" s="8" t="str">
        <x:v>RSV-000232</x:v>
      </x:c>
      <x:c r="B233" s="8" t="str">
        <x:v>USR-0055</x:v>
      </x:c>
      <x:c r="C233" s="8" t="str">
        <x:v>ITM-000055</x:v>
      </x:c>
      <x:c r="D233" s="8" t="str">
        <x:v>HUB-MAD-007</x:v>
      </x:c>
      <x:c r="E233" s="10" t="n">
        <x:v>46315.5</x:v>
      </x:c>
      <x:c r="F233" s="10" t="n">
        <x:v>46321.5</x:v>
      </x:c>
      <x:c r="G233" s="10" t="n">
        <x:v>46324.5</x:v>
      </x:c>
      <x:c r="H233" s="8" t="str">
        <x:v>requested</x:v>
      </x:c>
      <x:c r="I233" s="8" t="str">
        <x:v>Confirmar que incluye todos los accesorios.</x:v>
      </x:c>
      <x:c r="J233" s="10" t="str"/>
      <x:c r="K233" s="8" t="str">
        <x:f>IF(COUNTIF('Usuarios'!$A$2:$A$61,B233)=1,"OK","ERROR")</x:f>
        <x:v>OK</x:v>
      </x:c>
      <x:c r="L233" s="8" t="str">
        <x:f>IF(COUNTIF('Objetos'!$A$2:$A$181,C233)=1,"OK","ERROR")</x:f>
        <x:v>OK</x:v>
      </x:c>
      <x:c r="M233" s="8" t="str">
        <x:f>IF(COUNTIF('Centros'!$A$2:$A$13,D233)=1,"OK","ERROR")</x:f>
        <x:v>OK</x:v>
      </x:c>
      <x:c r="N233" s="8" t="str">
        <x:f>IF(AND(G233&gt;F233,G233-F233&lt;=INDEX('Objetos'!$J$2:$J$181,MATCH(C233,'Objetos'!$A$2:$A$181,0))),"OK","ERROR")</x:f>
        <x:v>OK</x:v>
      </x:c>
    </x:row>
    <x:row r="234">
      <x:c r="A234" s="8" t="str">
        <x:v>RSV-000233</x:v>
      </x:c>
      <x:c r="B234" s="8" t="str">
        <x:v>USR-0007</x:v>
      </x:c>
      <x:c r="C234" s="8" t="str">
        <x:v>ITM-000056</x:v>
      </x:c>
      <x:c r="D234" s="8" t="str">
        <x:v>HUB-MAD-008</x:v>
      </x:c>
      <x:c r="E234" s="10" t="n">
        <x:v>46316.5</x:v>
      </x:c>
      <x:c r="F234" s="10" t="n">
        <x:v>46322.5</x:v>
      </x:c>
      <x:c r="G234" s="10" t="n">
        <x:v>46325.5</x:v>
      </x:c>
      <x:c r="H234" s="8" t="str">
        <x:v>requested</x:v>
      </x:c>
      <x:c r="I234" s="8" t="str"/>
      <x:c r="J234" s="10" t="str"/>
      <x:c r="K234" s="8" t="str">
        <x:f>IF(COUNTIF('Usuarios'!$A$2:$A$61,B234)=1,"OK","ERROR")</x:f>
        <x:v>OK</x:v>
      </x:c>
      <x:c r="L234" s="8" t="str">
        <x:f>IF(COUNTIF('Objetos'!$A$2:$A$181,C234)=1,"OK","ERROR")</x:f>
        <x:v>OK</x:v>
      </x:c>
      <x:c r="M234" s="8" t="str">
        <x:f>IF(COUNTIF('Centros'!$A$2:$A$13,D234)=1,"OK","ERROR")</x:f>
        <x:v>OK</x:v>
      </x:c>
      <x:c r="N234" s="8" t="str">
        <x:f>IF(AND(G234&gt;F234,G234-F234&lt;=INDEX('Objetos'!$J$2:$J$181,MATCH(C234,'Objetos'!$A$2:$A$181,0))),"OK","ERROR")</x:f>
        <x:v>OK</x:v>
      </x:c>
    </x:row>
    <x:row r="235">
      <x:c r="A235" s="8" t="str">
        <x:v>RSV-000234</x:v>
      </x:c>
      <x:c r="B235" s="8" t="str">
        <x:v>USR-0018</x:v>
      </x:c>
      <x:c r="C235" s="8" t="str">
        <x:v>ITM-000057</x:v>
      </x:c>
      <x:c r="D235" s="8" t="str">
        <x:v>HUB-MAD-009</x:v>
      </x:c>
      <x:c r="E235" s="10" t="n">
        <x:v>46317.5</x:v>
      </x:c>
      <x:c r="F235" s="10" t="n">
        <x:v>46323.5</x:v>
      </x:c>
      <x:c r="G235" s="10" t="n">
        <x:v>46326.5</x:v>
      </x:c>
      <x:c r="H235" s="8" t="str">
        <x:v>requested</x:v>
      </x:c>
      <x:c r="I235" s="8" t="str"/>
      <x:c r="J235" s="10" t="str"/>
      <x:c r="K235" s="8" t="str">
        <x:f>IF(COUNTIF('Usuarios'!$A$2:$A$61,B235)=1,"OK","ERROR")</x:f>
        <x:v>OK</x:v>
      </x:c>
      <x:c r="L235" s="8" t="str">
        <x:f>IF(COUNTIF('Objetos'!$A$2:$A$181,C235)=1,"OK","ERROR")</x:f>
        <x:v>OK</x:v>
      </x:c>
      <x:c r="M235" s="8" t="str">
        <x:f>IF(COUNTIF('Centros'!$A$2:$A$13,D235)=1,"OK","ERROR")</x:f>
        <x:v>OK</x:v>
      </x:c>
      <x:c r="N235" s="8" t="str">
        <x:f>IF(AND(G235&gt;F235,G235-F235&lt;=INDEX('Objetos'!$J$2:$J$181,MATCH(C235,'Objetos'!$A$2:$A$181,0))),"OK","ERROR")</x:f>
        <x:v>OK</x:v>
      </x:c>
    </x:row>
    <x:row r="236">
      <x:c r="A236" s="8" t="str">
        <x:v>RSV-000235</x:v>
      </x:c>
      <x:c r="B236" s="8" t="str">
        <x:v>USR-0030</x:v>
      </x:c>
      <x:c r="C236" s="8" t="str">
        <x:v>ITM-000058</x:v>
      </x:c>
      <x:c r="D236" s="8" t="str">
        <x:v>HUB-MAD-010</x:v>
      </x:c>
      <x:c r="E236" s="10" t="n">
        <x:v>46318.5</x:v>
      </x:c>
      <x:c r="F236" s="10" t="n">
        <x:v>46324.5</x:v>
      </x:c>
      <x:c r="G236" s="10" t="n">
        <x:v>46327.5</x:v>
      </x:c>
      <x:c r="H236" s="8" t="str">
        <x:v>requested</x:v>
      </x:c>
      <x:c r="I236" s="8" t="str">
        <x:v>Confirmar que incluye todos los accesorios.</x:v>
      </x:c>
      <x:c r="J236" s="10" t="str"/>
      <x:c r="K236" s="8" t="str">
        <x:f>IF(COUNTIF('Usuarios'!$A$2:$A$61,B236)=1,"OK","ERROR")</x:f>
        <x:v>OK</x:v>
      </x:c>
      <x:c r="L236" s="8" t="str">
        <x:f>IF(COUNTIF('Objetos'!$A$2:$A$181,C236)=1,"OK","ERROR")</x:f>
        <x:v>OK</x:v>
      </x:c>
      <x:c r="M236" s="8" t="str">
        <x:f>IF(COUNTIF('Centros'!$A$2:$A$13,D236)=1,"OK","ERROR")</x:f>
        <x:v>OK</x:v>
      </x:c>
      <x:c r="N236" s="8" t="str">
        <x:f>IF(AND(G236&gt;F236,G236-F236&lt;=INDEX('Objetos'!$J$2:$J$181,MATCH(C236,'Objetos'!$A$2:$A$181,0))),"OK","ERROR")</x:f>
        <x:v>OK</x:v>
      </x:c>
    </x:row>
    <x:row r="237">
      <x:c r="A237" s="8" t="str">
        <x:v>RSV-000236</x:v>
      </x:c>
      <x:c r="B237" s="8" t="str">
        <x:v>USR-0041</x:v>
      </x:c>
      <x:c r="C237" s="8" t="str">
        <x:v>ITM-000060</x:v>
      </x:c>
      <x:c r="D237" s="8" t="str">
        <x:v>HUB-MAD-012</x:v>
      </x:c>
      <x:c r="E237" s="10" t="n">
        <x:v>46321.5</x:v>
      </x:c>
      <x:c r="F237" s="10" t="n">
        <x:v>46327.5</x:v>
      </x:c>
      <x:c r="G237" s="10" t="n">
        <x:v>46330.5</x:v>
      </x:c>
      <x:c r="H237" s="8" t="str">
        <x:v>cancelled</x:v>
      </x:c>
      <x:c r="I237" s="8" t="str"/>
      <x:c r="J237" s="10" t="str"/>
      <x:c r="K237" s="8" t="str">
        <x:f>IF(COUNTIF('Usuarios'!$A$2:$A$61,B237)=1,"OK","ERROR")</x:f>
        <x:v>OK</x:v>
      </x:c>
      <x:c r="L237" s="8" t="str">
        <x:f>IF(COUNTIF('Objetos'!$A$2:$A$181,C237)=1,"OK","ERROR")</x:f>
        <x:v>OK</x:v>
      </x:c>
      <x:c r="M237" s="8" t="str">
        <x:f>IF(COUNTIF('Centros'!$A$2:$A$13,D237)=1,"OK","ERROR")</x:f>
        <x:v>OK</x:v>
      </x:c>
      <x:c r="N237" s="8" t="str">
        <x:f>IF(AND(G237&gt;F237,G237-F237&lt;=INDEX('Objetos'!$J$2:$J$181,MATCH(C237,'Objetos'!$A$2:$A$181,0))),"OK","ERROR")</x:f>
        <x:v>OK</x:v>
      </x:c>
    </x:row>
    <x:row r="238">
      <x:c r="A238" s="8" t="str">
        <x:v>RSV-000237</x:v>
      </x:c>
      <x:c r="B238" s="8" t="str">
        <x:v>USR-0053</x:v>
      </x:c>
      <x:c r="C238" s="8" t="str">
        <x:v>ITM-000061</x:v>
      </x:c>
      <x:c r="D238" s="8" t="str">
        <x:v>HUB-MAD-001</x:v>
      </x:c>
      <x:c r="E238" s="10" t="n">
        <x:v>46322.5</x:v>
      </x:c>
      <x:c r="F238" s="10" t="n">
        <x:v>46328.5</x:v>
      </x:c>
      <x:c r="G238" s="10" t="n">
        <x:v>46331.5</x:v>
      </x:c>
      <x:c r="H238" s="8" t="str">
        <x:v>cancelled</x:v>
      </x:c>
      <x:c r="I238" s="8" t="str"/>
      <x:c r="J238" s="10" t="str"/>
      <x:c r="K238" s="8" t="str">
        <x:f>IF(COUNTIF('Usuarios'!$A$2:$A$61,B238)=1,"OK","ERROR")</x:f>
        <x:v>OK</x:v>
      </x:c>
      <x:c r="L238" s="8" t="str">
        <x:f>IF(COUNTIF('Objetos'!$A$2:$A$181,C238)=1,"OK","ERROR")</x:f>
        <x:v>OK</x:v>
      </x:c>
      <x:c r="M238" s="8" t="str">
        <x:f>IF(COUNTIF('Centros'!$A$2:$A$13,D238)=1,"OK","ERROR")</x:f>
        <x:v>OK</x:v>
      </x:c>
      <x:c r="N238" s="8" t="str">
        <x:f>IF(AND(G238&gt;F238,G238-F238&lt;=INDEX('Objetos'!$J$2:$J$181,MATCH(C238,'Objetos'!$A$2:$A$181,0))),"OK","ERROR")</x:f>
        <x:v>OK</x:v>
      </x:c>
    </x:row>
    <x:row r="239">
      <x:c r="A239" s="8" t="str">
        <x:v>RSV-000238</x:v>
      </x:c>
      <x:c r="B239" s="8" t="str">
        <x:v>USR-0005</x:v>
      </x:c>
      <x:c r="C239" s="8" t="str">
        <x:v>ITM-000062</x:v>
      </x:c>
      <x:c r="D239" s="8" t="str">
        <x:v>HUB-MAD-002</x:v>
      </x:c>
      <x:c r="E239" s="10" t="n">
        <x:v>46323.5</x:v>
      </x:c>
      <x:c r="F239" s="10" t="n">
        <x:v>46329.5</x:v>
      </x:c>
      <x:c r="G239" s="10" t="n">
        <x:v>46332.5</x:v>
      </x:c>
      <x:c r="H239" s="8" t="str">
        <x:v>cancelled</x:v>
      </x:c>
      <x:c r="I239" s="8" t="str">
        <x:v>Confirmar que incluye todos los accesorios.</x:v>
      </x:c>
      <x:c r="J239" s="10" t="str"/>
      <x:c r="K239" s="8" t="str">
        <x:f>IF(COUNTIF('Usuarios'!$A$2:$A$61,B239)=1,"OK","ERROR")</x:f>
        <x:v>OK</x:v>
      </x:c>
      <x:c r="L239" s="8" t="str">
        <x:f>IF(COUNTIF('Objetos'!$A$2:$A$181,C239)=1,"OK","ERROR")</x:f>
        <x:v>OK</x:v>
      </x:c>
      <x:c r="M239" s="8" t="str">
        <x:f>IF(COUNTIF('Centros'!$A$2:$A$13,D239)=1,"OK","ERROR")</x:f>
        <x:v>OK</x:v>
      </x:c>
      <x:c r="N239" s="8" t="str">
        <x:f>IF(AND(G239&gt;F239,G239-F239&lt;=INDEX('Objetos'!$J$2:$J$181,MATCH(C239,'Objetos'!$A$2:$A$181,0))),"OK","ERROR")</x:f>
        <x:v>OK</x:v>
      </x:c>
    </x:row>
    <x:row r="240">
      <x:c r="A240" s="8" t="str">
        <x:v>RSV-000239</x:v>
      </x:c>
      <x:c r="B240" s="8" t="str">
        <x:v>USR-0016</x:v>
      </x:c>
      <x:c r="C240" s="8" t="str">
        <x:v>ITM-000063</x:v>
      </x:c>
      <x:c r="D240" s="8" t="str">
        <x:v>HUB-MAD-003</x:v>
      </x:c>
      <x:c r="E240" s="10" t="n">
        <x:v>46324.5</x:v>
      </x:c>
      <x:c r="F240" s="10" t="n">
        <x:v>46330.5</x:v>
      </x:c>
      <x:c r="G240" s="10" t="n">
        <x:v>46333.5</x:v>
      </x:c>
      <x:c r="H240" s="8" t="str">
        <x:v>cancelled</x:v>
      </x:c>
      <x:c r="I240" s="8" t="str"/>
      <x:c r="J240" s="10" t="str"/>
      <x:c r="K240" s="8" t="str">
        <x:f>IF(COUNTIF('Usuarios'!$A$2:$A$61,B240)=1,"OK","ERROR")</x:f>
        <x:v>OK</x:v>
      </x:c>
      <x:c r="L240" s="8" t="str">
        <x:f>IF(COUNTIF('Objetos'!$A$2:$A$181,C240)=1,"OK","ERROR")</x:f>
        <x:v>OK</x:v>
      </x:c>
      <x:c r="M240" s="8" t="str">
        <x:f>IF(COUNTIF('Centros'!$A$2:$A$13,D240)=1,"OK","ERROR")</x:f>
        <x:v>OK</x:v>
      </x:c>
      <x:c r="N240" s="8" t="str">
        <x:f>IF(AND(G240&gt;F240,G240-F240&lt;=INDEX('Objetos'!$J$2:$J$181,MATCH(C240,'Objetos'!$A$2:$A$181,0))),"OK","ERROR")</x:f>
        <x:v>OK</x:v>
      </x:c>
    </x:row>
    <x:row r="241">
      <x:c r="A241" s="8" t="str">
        <x:v>RSV-000240</x:v>
      </x:c>
      <x:c r="B241" s="8" t="str">
        <x:v>USR-0028</x:v>
      </x:c>
      <x:c r="C241" s="8" t="str">
        <x:v>ITM-000064</x:v>
      </x:c>
      <x:c r="D241" s="8" t="str">
        <x:v>HUB-MAD-004</x:v>
      </x:c>
      <x:c r="E241" s="10" t="n">
        <x:v>46325.5</x:v>
      </x:c>
      <x:c r="F241" s="10" t="n">
        <x:v>46331.5</x:v>
      </x:c>
      <x:c r="G241" s="10" t="n">
        <x:v>46334.5</x:v>
      </x:c>
      <x:c r="H241" s="8" t="str">
        <x:v>cancelled</x:v>
      </x:c>
      <x:c r="I241" s="8" t="str"/>
      <x:c r="J241" s="10" t="str"/>
      <x:c r="K241" s="8" t="str">
        <x:f>IF(COUNTIF('Usuarios'!$A$2:$A$61,B241)=1,"OK","ERROR")</x:f>
        <x:v>OK</x:v>
      </x:c>
      <x:c r="L241" s="8" t="str">
        <x:f>IF(COUNTIF('Objetos'!$A$2:$A$181,C241)=1,"OK","ERROR")</x:f>
        <x:v>OK</x:v>
      </x:c>
      <x:c r="M241" s="8" t="str">
        <x:f>IF(COUNTIF('Centros'!$A$2:$A$13,D241)=1,"OK","ERROR")</x:f>
        <x:v>OK</x:v>
      </x:c>
      <x:c r="N241" s="8" t="str">
        <x:f>IF(AND(G241&gt;F241,G241-F241&lt;=INDEX('Objetos'!$J$2:$J$181,MATCH(C241,'Objetos'!$A$2:$A$181,0))),"OK","ERROR")</x:f>
        <x:v>OK</x:v>
      </x:c>
    </x:row>
    <x:row r="242">
      <x:c r="A242" s="8" t="str">
        <x:v>RSV-000241</x:v>
      </x:c>
      <x:c r="B242" s="8" t="str">
        <x:v>USR-0039</x:v>
      </x:c>
      <x:c r="C242" s="8" t="str">
        <x:v>ITM-000065</x:v>
      </x:c>
      <x:c r="D242" s="8" t="str">
        <x:v>HUB-MAD-005</x:v>
      </x:c>
      <x:c r="E242" s="10" t="n">
        <x:v>46326.5</x:v>
      </x:c>
      <x:c r="F242" s="10" t="n">
        <x:v>46332.5</x:v>
      </x:c>
      <x:c r="G242" s="10" t="n">
        <x:v>46335.5</x:v>
      </x:c>
      <x:c r="H242" s="8" t="str">
        <x:v>cancelled</x:v>
      </x:c>
      <x:c r="I242" s="8" t="str">
        <x:v>Confirmar que incluye todos los accesorios.</x:v>
      </x:c>
      <x:c r="J242" s="10" t="str"/>
      <x:c r="K242" s="8" t="str">
        <x:f>IF(COUNTIF('Usuarios'!$A$2:$A$61,B242)=1,"OK","ERROR")</x:f>
        <x:v>OK</x:v>
      </x:c>
      <x:c r="L242" s="8" t="str">
        <x:f>IF(COUNTIF('Objetos'!$A$2:$A$181,C242)=1,"OK","ERROR")</x:f>
        <x:v>OK</x:v>
      </x:c>
      <x:c r="M242" s="8" t="str">
        <x:f>IF(COUNTIF('Centros'!$A$2:$A$13,D242)=1,"OK","ERROR")</x:f>
        <x:v>OK</x:v>
      </x:c>
      <x:c r="N242" s="8" t="str">
        <x:f>IF(AND(G242&gt;F242,G242-F242&lt;=INDEX('Objetos'!$J$2:$J$181,MATCH(C242,'Objetos'!$A$2:$A$181,0))),"OK","ERROR")</x:f>
        <x:v>OK</x:v>
      </x:c>
    </x:row>
    <x:row r="243">
      <x:c r="A243" s="8" t="str">
        <x:v>RSV-000242</x:v>
      </x:c>
      <x:c r="B243" s="8" t="str">
        <x:v>USR-0051</x:v>
      </x:c>
      <x:c r="C243" s="8" t="str">
        <x:v>ITM-000066</x:v>
      </x:c>
      <x:c r="D243" s="8" t="str">
        <x:v>HUB-MAD-006</x:v>
      </x:c>
      <x:c r="E243" s="10" t="n">
        <x:v>46327.5</x:v>
      </x:c>
      <x:c r="F243" s="10" t="n">
        <x:v>46333.5</x:v>
      </x:c>
      <x:c r="G243" s="10" t="n">
        <x:v>46336.5</x:v>
      </x:c>
      <x:c r="H243" s="8" t="str">
        <x:v>cancelled</x:v>
      </x:c>
      <x:c r="I243" s="8" t="str"/>
      <x:c r="J243" s="10" t="str"/>
      <x:c r="K243" s="8" t="str">
        <x:f>IF(COUNTIF('Usuarios'!$A$2:$A$61,B243)=1,"OK","ERROR")</x:f>
        <x:v>OK</x:v>
      </x:c>
      <x:c r="L243" s="8" t="str">
        <x:f>IF(COUNTIF('Objetos'!$A$2:$A$181,C243)=1,"OK","ERROR")</x:f>
        <x:v>OK</x:v>
      </x:c>
      <x:c r="M243" s="8" t="str">
        <x:f>IF(COUNTIF('Centros'!$A$2:$A$13,D243)=1,"OK","ERROR")</x:f>
        <x:v>OK</x:v>
      </x:c>
      <x:c r="N243" s="8" t="str">
        <x:f>IF(AND(G243&gt;F243,G243-F243&lt;=INDEX('Objetos'!$J$2:$J$181,MATCH(C243,'Objetos'!$A$2:$A$181,0))),"OK","ERROR")</x:f>
        <x:v>OK</x:v>
      </x:c>
    </x:row>
    <x:row r="244">
      <x:c r="A244" s="8" t="str">
        <x:v>RSV-000243</x:v>
      </x:c>
      <x:c r="B244" s="8" t="str">
        <x:v>USR-0003</x:v>
      </x:c>
      <x:c r="C244" s="8" t="str">
        <x:v>ITM-000067</x:v>
      </x:c>
      <x:c r="D244" s="8" t="str">
        <x:v>HUB-MAD-007</x:v>
      </x:c>
      <x:c r="E244" s="10" t="n">
        <x:v>46328.5</x:v>
      </x:c>
      <x:c r="F244" s="10" t="n">
        <x:v>46334.5</x:v>
      </x:c>
      <x:c r="G244" s="10" t="n">
        <x:v>46337.5</x:v>
      </x:c>
      <x:c r="H244" s="8" t="str">
        <x:v>cancelled</x:v>
      </x:c>
      <x:c r="I244" s="8" t="str"/>
      <x:c r="J244" s="10" t="str"/>
      <x:c r="K244" s="8" t="str">
        <x:f>IF(COUNTIF('Usuarios'!$A$2:$A$61,B244)=1,"OK","ERROR")</x:f>
        <x:v>OK</x:v>
      </x:c>
      <x:c r="L244" s="8" t="str">
        <x:f>IF(COUNTIF('Objetos'!$A$2:$A$181,C244)=1,"OK","ERROR")</x:f>
        <x:v>OK</x:v>
      </x:c>
      <x:c r="M244" s="8" t="str">
        <x:f>IF(COUNTIF('Centros'!$A$2:$A$13,D244)=1,"OK","ERROR")</x:f>
        <x:v>OK</x:v>
      </x:c>
      <x:c r="N244" s="8" t="str">
        <x:f>IF(AND(G244&gt;F244,G244-F244&lt;=INDEX('Objetos'!$J$2:$J$181,MATCH(C244,'Objetos'!$A$2:$A$181,0))),"OK","ERROR")</x:f>
        <x:v>OK</x:v>
      </x:c>
    </x:row>
    <x:row r="245">
      <x:c r="A245" s="8" t="str">
        <x:v>RSV-000244</x:v>
      </x:c>
      <x:c r="B245" s="8" t="str">
        <x:v>USR-0014</x:v>
      </x:c>
      <x:c r="C245" s="8" t="str">
        <x:v>ITM-000068</x:v>
      </x:c>
      <x:c r="D245" s="8" t="str">
        <x:v>HUB-MAD-008</x:v>
      </x:c>
      <x:c r="E245" s="10" t="n">
        <x:v>46329.5</x:v>
      </x:c>
      <x:c r="F245" s="10" t="n">
        <x:v>46335.5</x:v>
      </x:c>
      <x:c r="G245" s="10" t="n">
        <x:v>46338.5</x:v>
      </x:c>
      <x:c r="H245" s="8" t="str">
        <x:v>cancelled</x:v>
      </x:c>
      <x:c r="I245" s="8" t="str">
        <x:v>Confirmar que incluye todos los accesorios.</x:v>
      </x:c>
      <x:c r="J245" s="10" t="str"/>
      <x:c r="K245" s="8" t="str">
        <x:f>IF(COUNTIF('Usuarios'!$A$2:$A$61,B245)=1,"OK","ERROR")</x:f>
        <x:v>OK</x:v>
      </x:c>
      <x:c r="L245" s="8" t="str">
        <x:f>IF(COUNTIF('Objetos'!$A$2:$A$181,C245)=1,"OK","ERROR")</x:f>
        <x:v>OK</x:v>
      </x:c>
      <x:c r="M245" s="8" t="str">
        <x:f>IF(COUNTIF('Centros'!$A$2:$A$13,D245)=1,"OK","ERROR")</x:f>
        <x:v>OK</x:v>
      </x:c>
      <x:c r="N245" s="8" t="str">
        <x:f>IF(AND(G245&gt;F245,G245-F245&lt;=INDEX('Objetos'!$J$2:$J$181,MATCH(C245,'Objetos'!$A$2:$A$181,0))),"OK","ERROR")</x:f>
        <x:v>OK</x:v>
      </x:c>
    </x:row>
    <x:row r="246">
      <x:c r="A246" s="8" t="str">
        <x:v>RSV-000245</x:v>
      </x:c>
      <x:c r="B246" s="8" t="str">
        <x:v>USR-0026</x:v>
      </x:c>
      <x:c r="C246" s="8" t="str">
        <x:v>ITM-000069</x:v>
      </x:c>
      <x:c r="D246" s="8" t="str">
        <x:v>HUB-MAD-009</x:v>
      </x:c>
      <x:c r="E246" s="10" t="n">
        <x:v>46330.5</x:v>
      </x:c>
      <x:c r="F246" s="10" t="n">
        <x:v>46336.5</x:v>
      </x:c>
      <x:c r="G246" s="10" t="n">
        <x:v>46339.5</x:v>
      </x:c>
      <x:c r="H246" s="8" t="str">
        <x:v>cancelled</x:v>
      </x:c>
      <x:c r="I246" s="8" t="str"/>
      <x:c r="J246" s="10" t="str"/>
      <x:c r="K246" s="8" t="str">
        <x:f>IF(COUNTIF('Usuarios'!$A$2:$A$61,B246)=1,"OK","ERROR")</x:f>
        <x:v>OK</x:v>
      </x:c>
      <x:c r="L246" s="8" t="str">
        <x:f>IF(COUNTIF('Objetos'!$A$2:$A$181,C246)=1,"OK","ERROR")</x:f>
        <x:v>OK</x:v>
      </x:c>
      <x:c r="M246" s="8" t="str">
        <x:f>IF(COUNTIF('Centros'!$A$2:$A$13,D246)=1,"OK","ERROR")</x:f>
        <x:v>OK</x:v>
      </x:c>
      <x:c r="N246" s="8" t="str">
        <x:f>IF(AND(G246&gt;F246,G246-F246&lt;=INDEX('Objetos'!$J$2:$J$181,MATCH(C246,'Objetos'!$A$2:$A$181,0))),"OK","ERROR")</x:f>
        <x:v>OK</x:v>
      </x:c>
    </x:row>
    <x:row r="247">
      <x:c r="A247" s="8" t="str">
        <x:v>RSV-000246</x:v>
      </x:c>
      <x:c r="B247" s="8" t="str">
        <x:v>USR-0037</x:v>
      </x:c>
      <x:c r="C247" s="8" t="str">
        <x:v>ITM-000070</x:v>
      </x:c>
      <x:c r="D247" s="8" t="str">
        <x:v>HUB-MAD-010</x:v>
      </x:c>
      <x:c r="E247" s="10" t="n">
        <x:v>46331.5</x:v>
      </x:c>
      <x:c r="F247" s="10" t="n">
        <x:v>46337.5</x:v>
      </x:c>
      <x:c r="G247" s="10" t="n">
        <x:v>46340.5</x:v>
      </x:c>
      <x:c r="H247" s="8" t="str">
        <x:v>cancelled</x:v>
      </x:c>
      <x:c r="I247" s="8" t="str"/>
      <x:c r="J247" s="10" t="str"/>
      <x:c r="K247" s="8" t="str">
        <x:f>IF(COUNTIF('Usuarios'!$A$2:$A$61,B247)=1,"OK","ERROR")</x:f>
        <x:v>OK</x:v>
      </x:c>
      <x:c r="L247" s="8" t="str">
        <x:f>IF(COUNTIF('Objetos'!$A$2:$A$181,C247)=1,"OK","ERROR")</x:f>
        <x:v>OK</x:v>
      </x:c>
      <x:c r="M247" s="8" t="str">
        <x:f>IF(COUNTIF('Centros'!$A$2:$A$13,D247)=1,"OK","ERROR")</x:f>
        <x:v>OK</x:v>
      </x:c>
      <x:c r="N247" s="8" t="str">
        <x:f>IF(AND(G247&gt;F247,G247-F247&lt;=INDEX('Objetos'!$J$2:$J$181,MATCH(C247,'Objetos'!$A$2:$A$181,0))),"OK","ERROR")</x:f>
        <x:v>OK</x:v>
      </x:c>
    </x:row>
    <x:row r="248">
      <x:c r="A248" s="8" t="str">
        <x:v>RSV-000247</x:v>
      </x:c>
      <x:c r="B248" s="8" t="str">
        <x:v>USR-0049</x:v>
      </x:c>
      <x:c r="C248" s="8" t="str">
        <x:v>ITM-000071</x:v>
      </x:c>
      <x:c r="D248" s="8" t="str">
        <x:v>HUB-MAD-011</x:v>
      </x:c>
      <x:c r="E248" s="10" t="n">
        <x:v>46332.5</x:v>
      </x:c>
      <x:c r="F248" s="10" t="n">
        <x:v>46338.5</x:v>
      </x:c>
      <x:c r="G248" s="10" t="n">
        <x:v>46341.5</x:v>
      </x:c>
      <x:c r="H248" s="8" t="str">
        <x:v>cancelled</x:v>
      </x:c>
      <x:c r="I248" s="8" t="str">
        <x:v>Confirmar que incluye todos los accesorios.</x:v>
      </x:c>
      <x:c r="J248" s="10" t="str"/>
      <x:c r="K248" s="8" t="str">
        <x:f>IF(COUNTIF('Usuarios'!$A$2:$A$61,B248)=1,"OK","ERROR")</x:f>
        <x:v>OK</x:v>
      </x:c>
      <x:c r="L248" s="8" t="str">
        <x:f>IF(COUNTIF('Objetos'!$A$2:$A$181,C248)=1,"OK","ERROR")</x:f>
        <x:v>OK</x:v>
      </x:c>
      <x:c r="M248" s="8" t="str">
        <x:f>IF(COUNTIF('Centros'!$A$2:$A$13,D248)=1,"OK","ERROR")</x:f>
        <x:v>OK</x:v>
      </x:c>
      <x:c r="N248" s="8" t="str">
        <x:f>IF(AND(G248&gt;F248,G248-F248&lt;=INDEX('Objetos'!$J$2:$J$181,MATCH(C248,'Objetos'!$A$2:$A$181,0))),"OK","ERROR")</x:f>
        <x:v>OK</x:v>
      </x:c>
    </x:row>
    <x:row r="249">
      <x:c r="A249" s="8" t="str">
        <x:v>RSV-000248</x:v>
      </x:c>
      <x:c r="B249" s="8" t="str">
        <x:v>USR-0060</x:v>
      </x:c>
      <x:c r="C249" s="8" t="str">
        <x:v>ITM-000072</x:v>
      </x:c>
      <x:c r="D249" s="8" t="str">
        <x:v>HUB-MAD-012</x:v>
      </x:c>
      <x:c r="E249" s="10" t="n">
        <x:v>46333.5</x:v>
      </x:c>
      <x:c r="F249" s="10" t="n">
        <x:v>46339.5</x:v>
      </x:c>
      <x:c r="G249" s="10" t="n">
        <x:v>46342.5</x:v>
      </x:c>
      <x:c r="H249" s="8" t="str">
        <x:v>cancelled</x:v>
      </x:c>
      <x:c r="I249" s="8" t="str"/>
      <x:c r="J249" s="10" t="str"/>
      <x:c r="K249" s="8" t="str">
        <x:f>IF(COUNTIF('Usuarios'!$A$2:$A$61,B249)=1,"OK","ERROR")</x:f>
        <x:v>OK</x:v>
      </x:c>
      <x:c r="L249" s="8" t="str">
        <x:f>IF(COUNTIF('Objetos'!$A$2:$A$181,C249)=1,"OK","ERROR")</x:f>
        <x:v>OK</x:v>
      </x:c>
      <x:c r="M249" s="8" t="str">
        <x:f>IF(COUNTIF('Centros'!$A$2:$A$13,D249)=1,"OK","ERROR")</x:f>
        <x:v>OK</x:v>
      </x:c>
      <x:c r="N249" s="8" t="str">
        <x:f>IF(AND(G249&gt;F249,G249-F249&lt;=INDEX('Objetos'!$J$2:$J$181,MATCH(C249,'Objetos'!$A$2:$A$181,0))),"OK","ERROR")</x:f>
        <x:v>OK</x:v>
      </x:c>
    </x:row>
    <x:row r="250">
      <x:c r="A250" s="8" t="str">
        <x:v>RSV-000249</x:v>
      </x:c>
      <x:c r="B250" s="8" t="str">
        <x:v>USR-0012</x:v>
      </x:c>
      <x:c r="C250" s="8" t="str">
        <x:v>ITM-000073</x:v>
      </x:c>
      <x:c r="D250" s="8" t="str">
        <x:v>HUB-MAD-001</x:v>
      </x:c>
      <x:c r="E250" s="10" t="n">
        <x:v>46334.5</x:v>
      </x:c>
      <x:c r="F250" s="10" t="n">
        <x:v>46340.5</x:v>
      </x:c>
      <x:c r="G250" s="10" t="n">
        <x:v>46343.5</x:v>
      </x:c>
      <x:c r="H250" s="8" t="str">
        <x:v>cancelled</x:v>
      </x:c>
      <x:c r="I250" s="8" t="str"/>
      <x:c r="J250" s="10" t="str"/>
      <x:c r="K250" s="8" t="str">
        <x:f>IF(COUNTIF('Usuarios'!$A$2:$A$61,B250)=1,"OK","ERROR")</x:f>
        <x:v>OK</x:v>
      </x:c>
      <x:c r="L250" s="8" t="str">
        <x:f>IF(COUNTIF('Objetos'!$A$2:$A$181,C250)=1,"OK","ERROR")</x:f>
        <x:v>OK</x:v>
      </x:c>
      <x:c r="M250" s="8" t="str">
        <x:f>IF(COUNTIF('Centros'!$A$2:$A$13,D250)=1,"OK","ERROR")</x:f>
        <x:v>OK</x:v>
      </x:c>
      <x:c r="N250" s="8" t="str">
        <x:f>IF(AND(G250&gt;F250,G250-F250&lt;=INDEX('Objetos'!$J$2:$J$181,MATCH(C250,'Objetos'!$A$2:$A$181,0))),"OK","ERROR")</x:f>
        <x:v>OK</x:v>
      </x:c>
    </x:row>
    <x:row r="251">
      <x:c r="A251" s="8" t="str">
        <x:v>RSV-000250</x:v>
      </x:c>
      <x:c r="B251" s="8" t="str">
        <x:v>USR-0023</x:v>
      </x:c>
      <x:c r="C251" s="8" t="str">
        <x:v>ITM-000074</x:v>
      </x:c>
      <x:c r="D251" s="8" t="str">
        <x:v>HUB-MAD-002</x:v>
      </x:c>
      <x:c r="E251" s="10" t="n">
        <x:v>46335.5</x:v>
      </x:c>
      <x:c r="F251" s="10" t="n">
        <x:v>46341.5</x:v>
      </x:c>
      <x:c r="G251" s="10" t="n">
        <x:v>46344.5</x:v>
      </x:c>
      <x:c r="H251" s="8" t="str">
        <x:v>cancelled</x:v>
      </x:c>
      <x:c r="I251" s="8" t="str">
        <x:v>Confirmar que incluye todos los accesorios.</x:v>
      </x:c>
      <x:c r="J251" s="10" t="str"/>
      <x:c r="K251" s="8" t="str">
        <x:f>IF(COUNTIF('Usuarios'!$A$2:$A$61,B251)=1,"OK","ERROR")</x:f>
        <x:v>OK</x:v>
      </x:c>
      <x:c r="L251" s="8" t="str">
        <x:f>IF(COUNTIF('Objetos'!$A$2:$A$181,C251)=1,"OK","ERROR")</x:f>
        <x:v>OK</x:v>
      </x:c>
      <x:c r="M251" s="8" t="str">
        <x:f>IF(COUNTIF('Centros'!$A$2:$A$13,D251)=1,"OK","ERROR")</x:f>
        <x:v>OK</x:v>
      </x:c>
      <x:c r="N251" s="8" t="str">
        <x:f>IF(AND(G251&gt;F251,G251-F251&lt;=INDEX('Objetos'!$J$2:$J$181,MATCH(C251,'Objetos'!$A$2:$A$181,0))),"OK","ERROR")</x:f>
        <x:v>OK</x:v>
      </x:c>
    </x:row>
    <x:row r="252">
      <x:c r="A252" s="8" t="str">
        <x:v>RSV-000251</x:v>
      </x:c>
      <x:c r="B252" s="8" t="str">
        <x:v>USR-0035</x:v>
      </x:c>
      <x:c r="C252" s="8" t="str">
        <x:v>ITM-000075</x:v>
      </x:c>
      <x:c r="D252" s="8" t="str">
        <x:v>HUB-MAD-003</x:v>
      </x:c>
      <x:c r="E252" s="10" t="n">
        <x:v>46339.5</x:v>
      </x:c>
      <x:c r="F252" s="10" t="n">
        <x:v>46345.5</x:v>
      </x:c>
      <x:c r="G252" s="10" t="n">
        <x:v>46348.5</x:v>
      </x:c>
      <x:c r="H252" s="8" t="str">
        <x:v>rejected</x:v>
      </x:c>
      <x:c r="I252" s="8" t="str"/>
      <x:c r="J252" s="10" t="str"/>
      <x:c r="K252" s="8" t="str">
        <x:f>IF(COUNTIF('Usuarios'!$A$2:$A$61,B252)=1,"OK","ERROR")</x:f>
        <x:v>OK</x:v>
      </x:c>
      <x:c r="L252" s="8" t="str">
        <x:f>IF(COUNTIF('Objetos'!$A$2:$A$181,C252)=1,"OK","ERROR")</x:f>
        <x:v>OK</x:v>
      </x:c>
      <x:c r="M252" s="8" t="str">
        <x:f>IF(COUNTIF('Centros'!$A$2:$A$13,D252)=1,"OK","ERROR")</x:f>
        <x:v>OK</x:v>
      </x:c>
      <x:c r="N252" s="8" t="str">
        <x:f>IF(AND(G252&gt;F252,G252-F252&lt;=INDEX('Objetos'!$J$2:$J$181,MATCH(C252,'Objetos'!$A$2:$A$181,0))),"OK","ERROR")</x:f>
        <x:v>OK</x:v>
      </x:c>
    </x:row>
    <x:row r="253">
      <x:c r="A253" s="8" t="str">
        <x:v>RSV-000252</x:v>
      </x:c>
      <x:c r="B253" s="8" t="str">
        <x:v>USR-0046</x:v>
      </x:c>
      <x:c r="C253" s="8" t="str">
        <x:v>ITM-000076</x:v>
      </x:c>
      <x:c r="D253" s="8" t="str">
        <x:v>HUB-MAD-004</x:v>
      </x:c>
      <x:c r="E253" s="10" t="n">
        <x:v>46340.5</x:v>
      </x:c>
      <x:c r="F253" s="10" t="n">
        <x:v>46346.5</x:v>
      </x:c>
      <x:c r="G253" s="10" t="n">
        <x:v>46349.5</x:v>
      </x:c>
      <x:c r="H253" s="8" t="str">
        <x:v>rejected</x:v>
      </x:c>
      <x:c r="I253" s="8" t="str"/>
      <x:c r="J253" s="10" t="str"/>
      <x:c r="K253" s="8" t="str">
        <x:f>IF(COUNTIF('Usuarios'!$A$2:$A$61,B253)=1,"OK","ERROR")</x:f>
        <x:v>OK</x:v>
      </x:c>
      <x:c r="L253" s="8" t="str">
        <x:f>IF(COUNTIF('Objetos'!$A$2:$A$181,C253)=1,"OK","ERROR")</x:f>
        <x:v>OK</x:v>
      </x:c>
      <x:c r="M253" s="8" t="str">
        <x:f>IF(COUNTIF('Centros'!$A$2:$A$13,D253)=1,"OK","ERROR")</x:f>
        <x:v>OK</x:v>
      </x:c>
      <x:c r="N253" s="8" t="str">
        <x:f>IF(AND(G253&gt;F253,G253-F253&lt;=INDEX('Objetos'!$J$2:$J$181,MATCH(C253,'Objetos'!$A$2:$A$181,0))),"OK","ERROR")</x:f>
        <x:v>OK</x:v>
      </x:c>
    </x:row>
    <x:row r="254">
      <x:c r="A254" s="8" t="str">
        <x:v>RSV-000253</x:v>
      </x:c>
      <x:c r="B254" s="8" t="str">
        <x:v>USR-0058</x:v>
      </x:c>
      <x:c r="C254" s="8" t="str">
        <x:v>ITM-000077</x:v>
      </x:c>
      <x:c r="D254" s="8" t="str">
        <x:v>HUB-MAD-005</x:v>
      </x:c>
      <x:c r="E254" s="10" t="n">
        <x:v>46341.5</x:v>
      </x:c>
      <x:c r="F254" s="10" t="n">
        <x:v>46347.5</x:v>
      </x:c>
      <x:c r="G254" s="10" t="n">
        <x:v>46350.5</x:v>
      </x:c>
      <x:c r="H254" s="8" t="str">
        <x:v>rejected</x:v>
      </x:c>
      <x:c r="I254" s="8" t="str">
        <x:v>Confirmar que incluye todos los accesorios.</x:v>
      </x:c>
      <x:c r="J254" s="10" t="str"/>
      <x:c r="K254" s="8" t="str">
        <x:f>IF(COUNTIF('Usuarios'!$A$2:$A$61,B254)=1,"OK","ERROR")</x:f>
        <x:v>OK</x:v>
      </x:c>
      <x:c r="L254" s="8" t="str">
        <x:f>IF(COUNTIF('Objetos'!$A$2:$A$181,C254)=1,"OK","ERROR")</x:f>
        <x:v>OK</x:v>
      </x:c>
      <x:c r="M254" s="8" t="str">
        <x:f>IF(COUNTIF('Centros'!$A$2:$A$13,D254)=1,"OK","ERROR")</x:f>
        <x:v>OK</x:v>
      </x:c>
      <x:c r="N254" s="8" t="str">
        <x:f>IF(AND(G254&gt;F254,G254-F254&lt;=INDEX('Objetos'!$J$2:$J$181,MATCH(C254,'Objetos'!$A$2:$A$181,0))),"OK","ERROR")</x:f>
        <x:v>OK</x:v>
      </x:c>
    </x:row>
    <x:row r="255">
      <x:c r="A255" s="8" t="str">
        <x:v>RSV-000254</x:v>
      </x:c>
      <x:c r="B255" s="8" t="str">
        <x:v>USR-0010</x:v>
      </x:c>
      <x:c r="C255" s="8" t="str">
        <x:v>ITM-000078</x:v>
      </x:c>
      <x:c r="D255" s="8" t="str">
        <x:v>HUB-MAD-006</x:v>
      </x:c>
      <x:c r="E255" s="10" t="n">
        <x:v>46342.5</x:v>
      </x:c>
      <x:c r="F255" s="10" t="n">
        <x:v>46348.5</x:v>
      </x:c>
      <x:c r="G255" s="10" t="n">
        <x:v>46351.5</x:v>
      </x:c>
      <x:c r="H255" s="8" t="str">
        <x:v>rejected</x:v>
      </x:c>
      <x:c r="I255" s="8" t="str"/>
      <x:c r="J255" s="10" t="str"/>
      <x:c r="K255" s="8" t="str">
        <x:f>IF(COUNTIF('Usuarios'!$A$2:$A$61,B255)=1,"OK","ERROR")</x:f>
        <x:v>OK</x:v>
      </x:c>
      <x:c r="L255" s="8" t="str">
        <x:f>IF(COUNTIF('Objetos'!$A$2:$A$181,C255)=1,"OK","ERROR")</x:f>
        <x:v>OK</x:v>
      </x:c>
      <x:c r="M255" s="8" t="str">
        <x:f>IF(COUNTIF('Centros'!$A$2:$A$13,D255)=1,"OK","ERROR")</x:f>
        <x:v>OK</x:v>
      </x:c>
      <x:c r="N255" s="8" t="str">
        <x:f>IF(AND(G255&gt;F255,G255-F255&lt;=INDEX('Objetos'!$J$2:$J$181,MATCH(C255,'Objetos'!$A$2:$A$181,0))),"OK","ERROR")</x:f>
        <x:v>OK</x:v>
      </x:c>
    </x:row>
    <x:row r="256">
      <x:c r="A256" s="8" t="str">
        <x:v>RSV-000255</x:v>
      </x:c>
      <x:c r="B256" s="8" t="str">
        <x:v>USR-0021</x:v>
      </x:c>
      <x:c r="C256" s="8" t="str">
        <x:v>ITM-000079</x:v>
      </x:c>
      <x:c r="D256" s="8" t="str">
        <x:v>HUB-MAD-007</x:v>
      </x:c>
      <x:c r="E256" s="10" t="n">
        <x:v>46343.5</x:v>
      </x:c>
      <x:c r="F256" s="10" t="n">
        <x:v>46349.5</x:v>
      </x:c>
      <x:c r="G256" s="10" t="n">
        <x:v>46352.5</x:v>
      </x:c>
      <x:c r="H256" s="8" t="str">
        <x:v>rejected</x:v>
      </x:c>
      <x:c r="I256" s="8" t="str"/>
      <x:c r="J256" s="10" t="str"/>
      <x:c r="K256" s="8" t="str">
        <x:f>IF(COUNTIF('Usuarios'!$A$2:$A$61,B256)=1,"OK","ERROR")</x:f>
        <x:v>OK</x:v>
      </x:c>
      <x:c r="L256" s="8" t="str">
        <x:f>IF(COUNTIF('Objetos'!$A$2:$A$181,C256)=1,"OK","ERROR")</x:f>
        <x:v>OK</x:v>
      </x:c>
      <x:c r="M256" s="8" t="str">
        <x:f>IF(COUNTIF('Centros'!$A$2:$A$13,D256)=1,"OK","ERROR")</x:f>
        <x:v>OK</x:v>
      </x:c>
      <x:c r="N256" s="8" t="str">
        <x:f>IF(AND(G256&gt;F256,G256-F256&lt;=INDEX('Objetos'!$J$2:$J$181,MATCH(C256,'Objetos'!$A$2:$A$181,0))),"OK","ERROR")</x:f>
        <x:v>OK</x:v>
      </x:c>
    </x:row>
    <x:row r="257">
      <x:c r="A257" s="8" t="str">
        <x:v>RSV-000256</x:v>
      </x:c>
      <x:c r="B257" s="8" t="str">
        <x:v>USR-0033</x:v>
      </x:c>
      <x:c r="C257" s="8" t="str">
        <x:v>ITM-000080</x:v>
      </x:c>
      <x:c r="D257" s="8" t="str">
        <x:v>HUB-MAD-008</x:v>
      </x:c>
      <x:c r="E257" s="10" t="n">
        <x:v>46344.5</x:v>
      </x:c>
      <x:c r="F257" s="10" t="n">
        <x:v>46350.5</x:v>
      </x:c>
      <x:c r="G257" s="10" t="n">
        <x:v>46353.5</x:v>
      </x:c>
      <x:c r="H257" s="8" t="str">
        <x:v>rejected</x:v>
      </x:c>
      <x:c r="I257" s="8" t="str">
        <x:v>Confirmar que incluye todos los accesorios.</x:v>
      </x:c>
      <x:c r="J257" s="10" t="str"/>
      <x:c r="K257" s="8" t="str">
        <x:f>IF(COUNTIF('Usuarios'!$A$2:$A$61,B257)=1,"OK","ERROR")</x:f>
        <x:v>OK</x:v>
      </x:c>
      <x:c r="L257" s="8" t="str">
        <x:f>IF(COUNTIF('Objetos'!$A$2:$A$181,C257)=1,"OK","ERROR")</x:f>
        <x:v>OK</x:v>
      </x:c>
      <x:c r="M257" s="8" t="str">
        <x:f>IF(COUNTIF('Centros'!$A$2:$A$13,D257)=1,"OK","ERROR")</x:f>
        <x:v>OK</x:v>
      </x:c>
      <x:c r="N257" s="8" t="str">
        <x:f>IF(AND(G257&gt;F257,G257-F257&lt;=INDEX('Objetos'!$J$2:$J$181,MATCH(C257,'Objetos'!$A$2:$A$181,0))),"OK","ERROR")</x:f>
        <x:v>OK</x:v>
      </x:c>
    </x:row>
    <x:row r="258">
      <x:c r="A258" s="8" t="str">
        <x:v>RSV-000257</x:v>
      </x:c>
      <x:c r="B258" s="8" t="str">
        <x:v>USR-0044</x:v>
      </x:c>
      <x:c r="C258" s="8" t="str">
        <x:v>ITM-000081</x:v>
      </x:c>
      <x:c r="D258" s="8" t="str">
        <x:v>HUB-MAD-009</x:v>
      </x:c>
      <x:c r="E258" s="10" t="n">
        <x:v>46345.5</x:v>
      </x:c>
      <x:c r="F258" s="10" t="n">
        <x:v>46351.5</x:v>
      </x:c>
      <x:c r="G258" s="10" t="n">
        <x:v>46354.5</x:v>
      </x:c>
      <x:c r="H258" s="8" t="str">
        <x:v>rejected</x:v>
      </x:c>
      <x:c r="I258" s="8" t="str"/>
      <x:c r="J258" s="10" t="str"/>
      <x:c r="K258" s="8" t="str">
        <x:f>IF(COUNTIF('Usuarios'!$A$2:$A$61,B258)=1,"OK","ERROR")</x:f>
        <x:v>OK</x:v>
      </x:c>
      <x:c r="L258" s="8" t="str">
        <x:f>IF(COUNTIF('Objetos'!$A$2:$A$181,C258)=1,"OK","ERROR")</x:f>
        <x:v>OK</x:v>
      </x:c>
      <x:c r="M258" s="8" t="str">
        <x:f>IF(COUNTIF('Centros'!$A$2:$A$13,D258)=1,"OK","ERROR")</x:f>
        <x:v>OK</x:v>
      </x:c>
      <x:c r="N258" s="8" t="str">
        <x:f>IF(AND(G258&gt;F258,G258-F258&lt;=INDEX('Objetos'!$J$2:$J$181,MATCH(C258,'Objetos'!$A$2:$A$181,0))),"OK","ERROR")</x:f>
        <x:v>OK</x:v>
      </x:c>
    </x:row>
    <x:row r="259">
      <x:c r="A259" s="8" t="str">
        <x:v>RSV-000258</x:v>
      </x:c>
      <x:c r="B259" s="8" t="str">
        <x:v>USR-0056</x:v>
      </x:c>
      <x:c r="C259" s="8" t="str">
        <x:v>ITM-000082</x:v>
      </x:c>
      <x:c r="D259" s="8" t="str">
        <x:v>HUB-MAD-010</x:v>
      </x:c>
      <x:c r="E259" s="10" t="n">
        <x:v>46346.5</x:v>
      </x:c>
      <x:c r="F259" s="10" t="n">
        <x:v>46352.5</x:v>
      </x:c>
      <x:c r="G259" s="10" t="n">
        <x:v>46355.5</x:v>
      </x:c>
      <x:c r="H259" s="8" t="str">
        <x:v>rejected</x:v>
      </x:c>
      <x:c r="I259" s="8" t="str"/>
      <x:c r="J259" s="10" t="str"/>
      <x:c r="K259" s="8" t="str">
        <x:f>IF(COUNTIF('Usuarios'!$A$2:$A$61,B259)=1,"OK","ERROR")</x:f>
        <x:v>OK</x:v>
      </x:c>
      <x:c r="L259" s="8" t="str">
        <x:f>IF(COUNTIF('Objetos'!$A$2:$A$181,C259)=1,"OK","ERROR")</x:f>
        <x:v>OK</x:v>
      </x:c>
      <x:c r="M259" s="8" t="str">
        <x:f>IF(COUNTIF('Centros'!$A$2:$A$13,D259)=1,"OK","ERROR")</x:f>
        <x:v>OK</x:v>
      </x:c>
      <x:c r="N259" s="8" t="str">
        <x:f>IF(AND(G259&gt;F259,G259-F259&lt;=INDEX('Objetos'!$J$2:$J$181,MATCH(C259,'Objetos'!$A$2:$A$181,0))),"OK","ERROR")</x:f>
        <x:v>OK</x:v>
      </x:c>
    </x:row>
    <x:row r="260">
      <x:c r="A260" s="8" t="str">
        <x:v>RSV-000259</x:v>
      </x:c>
      <x:c r="B260" s="8" t="str">
        <x:v>USR-0008</x:v>
      </x:c>
      <x:c r="C260" s="8" t="str">
        <x:v>ITM-000083</x:v>
      </x:c>
      <x:c r="D260" s="8" t="str">
        <x:v>HUB-MAD-011</x:v>
      </x:c>
      <x:c r="E260" s="10" t="n">
        <x:v>46347.5</x:v>
      </x:c>
      <x:c r="F260" s="10" t="n">
        <x:v>46353.5</x:v>
      </x:c>
      <x:c r="G260" s="10" t="n">
        <x:v>46356.5</x:v>
      </x:c>
      <x:c r="H260" s="8" t="str">
        <x:v>rejected</x:v>
      </x:c>
      <x:c r="I260" s="8" t="str">
        <x:v>Confirmar que incluye todos los accesorios.</x:v>
      </x:c>
      <x:c r="J260" s="10" t="str"/>
      <x:c r="K260" s="8" t="str">
        <x:f>IF(COUNTIF('Usuarios'!$A$2:$A$61,B260)=1,"OK","ERROR")</x:f>
        <x:v>OK</x:v>
      </x:c>
      <x:c r="L260" s="8" t="str">
        <x:f>IF(COUNTIF('Objetos'!$A$2:$A$181,C260)=1,"OK","ERROR")</x:f>
        <x:v>OK</x:v>
      </x:c>
      <x:c r="M260" s="8" t="str">
        <x:f>IF(COUNTIF('Centros'!$A$2:$A$13,D260)=1,"OK","ERROR")</x:f>
        <x:v>OK</x:v>
      </x:c>
      <x:c r="N260" s="8" t="str">
        <x:f>IF(AND(G260&gt;F260,G260-F260&lt;=INDEX('Objetos'!$J$2:$J$181,MATCH(C260,'Objetos'!$A$2:$A$181,0))),"OK","ERROR")</x:f>
        <x:v>OK</x:v>
      </x:c>
    </x:row>
    <x:row r="261">
      <x:c r="A261" s="11" t="str">
        <x:v>RSV-000260</x:v>
      </x:c>
      <x:c r="B261" s="11" t="str">
        <x:v>USR-0019</x:v>
      </x:c>
      <x:c r="C261" s="11" t="str">
        <x:v>ITM-000084</x:v>
      </x:c>
      <x:c r="D261" s="11" t="str">
        <x:v>HUB-MAD-012</x:v>
      </x:c>
      <x:c r="E261" s="13" t="n">
        <x:v>46348.5</x:v>
      </x:c>
      <x:c r="F261" s="13" t="n">
        <x:v>46354.5</x:v>
      </x:c>
      <x:c r="G261" s="13" t="n">
        <x:v>46357.5</x:v>
      </x:c>
      <x:c r="H261" s="11" t="str">
        <x:v>rejected</x:v>
      </x:c>
      <x:c r="I261" s="11" t="str"/>
      <x:c r="J261" s="13" t="str"/>
      <x:c r="K261" s="11" t="str">
        <x:f>IF(COUNTIF('Usuarios'!$A$2:$A$61,B261)=1,"OK","ERROR")</x:f>
        <x:v>OK</x:v>
      </x:c>
      <x:c r="L261" s="11" t="str">
        <x:f>IF(COUNTIF('Objetos'!$A$2:$A$181,C261)=1,"OK","ERROR")</x:f>
        <x:v>OK</x:v>
      </x:c>
      <x:c r="M261" s="11" t="str">
        <x:f>IF(COUNTIF('Centros'!$A$2:$A$13,D261)=1,"OK","ERROR")</x:f>
        <x:v>OK</x:v>
      </x:c>
      <x:c r="N261" s="11" t="str">
        <x:f>IF(AND(G261&gt;F261,G261-F261&lt;=INDEX('Objetos'!$J$2:$J$181,MATCH(C261,'Objetos'!$A$2:$A$181,0))),"OK","ERROR")</x:f>
        <x:v>OK</x:v>
      </x:c>
    </x:row>
  </x:sheetData>
  <x:dataValidations count="1">
    <x:dataValidation type="list" sqref="H2:H261">
      <x:formula1>"requested,approved,collected,returned,cancelled,rejected,overdue"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02b974b33477d"/>
  </x:tableParts>
</x:worksheet>
</file>